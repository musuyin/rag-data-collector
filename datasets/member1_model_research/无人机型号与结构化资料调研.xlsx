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86159\Downloads\"/>
    </mc:Choice>
  </mc:AlternateContent>
  <xr:revisionPtr revIDLastSave="0" documentId="13_ncr:1_{55E1640A-C793-44CF-B384-08CB0ACE68BC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型号资料表" sheetId="1" r:id="rId1"/>
    <sheet name="字段候选表" sheetId="2" r:id="rId2"/>
    <sheet name="来源及证据清单" sheetId="3" r:id="rId3"/>
    <sheet name="工作进度表" sheetId="4" r:id="rId4"/>
    <sheet name="验收概览" sheetId="5" r:id="rId5"/>
  </sheets>
  <calcPr calcId="181029"/>
</workbook>
</file>

<file path=xl/calcChain.xml><?xml version="1.0" encoding="utf-8"?>
<calcChain xmlns="http://schemas.openxmlformats.org/spreadsheetml/2006/main">
  <c r="B8" i="5" l="1"/>
  <c r="B5" i="5"/>
  <c r="M7" i="4"/>
  <c r="M6" i="4"/>
  <c r="M5" i="4"/>
  <c r="M4" i="4"/>
  <c r="B6" i="5" l="1"/>
  <c r="B7" i="5"/>
</calcChain>
</file>

<file path=xl/sharedStrings.xml><?xml version="1.0" encoding="utf-8"?>
<sst xmlns="http://schemas.openxmlformats.org/spreadsheetml/2006/main" count="1280" uniqueCount="658">
  <si>
    <t>无人机型号资料表</t>
  </si>
  <si>
    <t>记录状态</t>
  </si>
  <si>
    <t>厂商</t>
  </si>
  <si>
    <t>型号</t>
  </si>
  <si>
    <t>产品类型</t>
  </si>
  <si>
    <t>发布时间</t>
  </si>
  <si>
    <t>产品定位/场景</t>
  </si>
  <si>
    <t>尺寸</t>
  </si>
  <si>
    <t>空机重量</t>
  </si>
  <si>
    <t>最大起飞重量</t>
  </si>
  <si>
    <t>最大载荷</t>
  </si>
  <si>
    <t>最大飞行时间</t>
  </si>
  <si>
    <t>最大悬停时间</t>
  </si>
  <si>
    <t>最大水平速度</t>
  </si>
  <si>
    <t>最大起飞海拔/高度</t>
  </si>
  <si>
    <t>最大抗风能力</t>
  </si>
  <si>
    <t>工作温度</t>
  </si>
  <si>
    <t>GNSS/定位系统</t>
  </si>
  <si>
    <t>相机/视觉传感器</t>
  </si>
  <si>
    <t>热成像/红外</t>
  </si>
  <si>
    <t>LiDAR/测距</t>
  </si>
  <si>
    <t>核心处理器/算力平台</t>
  </si>
  <si>
    <t>机载存储</t>
  </si>
  <si>
    <t>电池型号/容量</t>
  </si>
  <si>
    <t>通信频段</t>
  </si>
  <si>
    <t>图传/通信协议</t>
  </si>
  <si>
    <t>遥控/数传链路</t>
  </si>
  <si>
    <t>接口/扩展能力</t>
  </si>
  <si>
    <t>固件信息</t>
  </si>
  <si>
    <t>SDK/开发接口</t>
  </si>
  <si>
    <t>FCC ID / FAA相关信息</t>
  </si>
  <si>
    <t>主要官方来源URL</t>
  </si>
  <si>
    <t>核验备注</t>
  </si>
  <si>
    <t>已核验（基础/规格/SDK）</t>
  </si>
  <si>
    <t>DJI</t>
  </si>
  <si>
    <t>Mavic 3 Enterprise</t>
  </si>
  <si>
    <t>四旋翼</t>
  </si>
  <si>
    <t>测绘/巡检/行业应用</t>
  </si>
  <si>
    <t>折叠 221×96.3×90.3 mm；展开 347.5×283×107.7 mm（均不含桨）</t>
  </si>
  <si>
    <t>915 g（含桨，不含附件）</t>
  </si>
  <si>
    <t>1050 g</t>
  </si>
  <si>
    <t>约135 g（由MTOW-标准重量推得，仅作载荷余量参考）</t>
  </si>
  <si>
    <t>45 min（无风，标准电池/桨）</t>
  </si>
  <si>
    <t>38 min（无风）</t>
  </si>
  <si>
    <t>Normal 15 m/s；Sport前向21 m/s/侧向20 m/s/后向19 m/s</t>
  </si>
  <si>
    <t>6000 m（无载荷）</t>
  </si>
  <si>
    <t>12 m/s</t>
  </si>
  <si>
    <t>-10~40 °C</t>
  </si>
  <si>
    <t>GPS+Galileo+BeiDou+GLONASS（GLONASS需RTK模块）</t>
  </si>
  <si>
    <t>广角：4/3 CMOS 20MP；长焦：1/2-inch CMOS 12MP</t>
  </si>
  <si>
    <t>无（3E；3T/3TA带热成像）</t>
  </si>
  <si>
    <t>底部红外传感器用于避障/定位辅助</t>
  </si>
  <si>
    <t>机身内置存储：N/A</t>
  </si>
  <si>
    <t>DJI Mavic 3 Series Intelligent Flight Battery</t>
  </si>
  <si>
    <t>2.400-2.4835 GHz；5.725-5.850 GHz</t>
  </si>
  <si>
    <t>DJI O3 Enterprise Transmission</t>
  </si>
  <si>
    <t>FCC 15 km；CE/SRRC/MIC 8 km（无阻挡无干扰）</t>
  </si>
  <si>
    <t>E-Port；支持RTK模块；RC Pro Enterprise</t>
  </si>
  <si>
    <t>MSDK 5.18.0支持列表中的机身固件：10.01.05.03（兼容性记录，并非宣称最新固件）</t>
  </si>
  <si>
    <t>DJI Mobile SDK V5；Payload SDK（Mavic 3 Enterprise Series推荐PSDK 3.9.2）</t>
  </si>
  <si>
    <t>FCC区域射频参数已在官方规格页核验；FCC ID/FAA具体记录待查</t>
  </si>
  <si>
    <t>https://enterprise.dji.com/mavic-3-enterprise/specs</t>
  </si>
  <si>
    <t>关键飞行参数、相机、链路、SDK已由DJI官方规格页/开发者文档核验；监管证书尚未补齐</t>
  </si>
  <si>
    <t>Matrice 350 RTK</t>
  </si>
  <si>
    <t>行业巡检/测绘/公共安全/重载平台</t>
  </si>
  <si>
    <t>展开 810×670×430 mm（不含桨）；折叠 430×420×430 mm（含桨）</t>
  </si>
  <si>
    <t>3.77 kg（无电池，带单下云台）；6.47 kg（含2×TB65）</t>
  </si>
  <si>
    <t>9.2 kg</t>
  </si>
  <si>
    <t>约2.73 kg（以6.47 kg起飞配置计算的MTOW余量）</t>
  </si>
  <si>
    <t>55 min（约8 m/s、无载荷、无风）</t>
  </si>
  <si>
    <t>23 m/s</t>
  </si>
  <si>
    <t>5000 m（2110s桨/≤7.4kg）；7000 m（高原低噪桨/≤7.2kg）</t>
  </si>
  <si>
    <t>-20~50 °C</t>
  </si>
  <si>
    <t>GPS+GLONASS+BeiDou+Galileo</t>
  </si>
  <si>
    <t>机身FPV相机1080p；支持Zenmuse H30/H30T/H20/H20T/H20N/L2/L1/P1/S1/V1等负载</t>
  </si>
  <si>
    <t>取决于挂载负载（如H30T/H20T/H20N）</t>
  </si>
  <si>
    <t>可挂载Zenmuse L1/L2等LiDAR负载</t>
  </si>
  <si>
    <t>TB65，5880 mAh，44.76 V，263.2 Wh，Li-ion；单块约1.35 kg</t>
  </si>
  <si>
    <t>2.4000-2.4835 GHz；5.150-5.250 GHz；5.725-5.850 GHz（地区限制）</t>
  </si>
  <si>
    <t>FCC 20 km；CE/SRRC/MIC 8 km（无阻挡无干扰）</t>
  </si>
  <si>
    <t>E-Port；上/下云台口；X-Port；SkyPort V2；支持第三方PSDK负载</t>
  </si>
  <si>
    <t>MSDK 5.18.0支持列表中的机身固件：14.01.00.17；PSDK 3.16发布记录列出14.01.00.06兼容组合</t>
  </si>
  <si>
    <t>DJI Mobile SDK V5；Payload SDK（M350 RTK推荐PSDK 3.9.2）</t>
  </si>
  <si>
    <t>官方规格页含FCC区域发射功率/距离；FCC ID/FAA具体记录待查</t>
  </si>
  <si>
    <t>https://enterprise.dji.com/matrice-350-rtk/specs</t>
  </si>
  <si>
    <t>飞行参数、频段、图传、GNSS、电池、负载/SDK已核验；监管证书仍待专项检索</t>
  </si>
  <si>
    <t>Autel Robotics</t>
  </si>
  <si>
    <t>EVO Max 4T</t>
  </si>
  <si>
    <t>行业巡检/公共安全/应急/夜间作业</t>
  </si>
  <si>
    <t>展开 562×649×150 mm（1136桨）/563×650×150 mm（1158桨）</t>
  </si>
  <si>
    <t>1645 g（ABX40电池+Fusion 4T+桨，官方手册）</t>
  </si>
  <si>
    <t>1999 g（非EU）；1890 g（EU C2）</t>
  </si>
  <si>
    <t>约354 g（按1645g标准配置与1999g MTOW差值）</t>
  </si>
  <si>
    <t>42 min（无风，约8 m/s水平飞行）</t>
  </si>
  <si>
    <t>Ludicrous前向23 m/s；后向18 m/s；侧向20 m/s</t>
  </si>
  <si>
    <t>4000 m（ABX40）；3000 m（ABX41）</t>
  </si>
  <si>
    <t>起降10.7 m/s；巡航12 m/s</t>
  </si>
  <si>
    <t>-20~50 °C（无载荷）；-20~40 °C（满载）</t>
  </si>
  <si>
    <t>GPS+Galileo+BeiDou+GLONASS</t>
  </si>
  <si>
    <t>Fusion 4T：广角相机+变焦相机+激光测距；手册记载广角50MP、变焦48MP/10x连续光学变焦</t>
  </si>
  <si>
    <t>非制冷VOx；640×512；测温-20~150 °C / 0~550 °C</t>
  </si>
  <si>
    <t>激光测距5-1200 m；另有毫米波雷达感知系统</t>
  </si>
  <si>
    <t>ABX40：8070 mAh/14.88 V/120 Wh；ABX41：9248 mAh/14.76 V/136.5 Wh</t>
  </si>
  <si>
    <t>900 MHz（部分地区）；2.4 GHz；5.2 GHz；5.8 GHz</t>
  </si>
  <si>
    <t>Autel SkyLink（EVO Max系列链路；官方页列频段/距离）</t>
  </si>
  <si>
    <t>FCC 15 km；CE 8 km（无阻挡无干扰）</t>
  </si>
  <si>
    <t>P-Port + P-Port Lite；最多2个负载；支持PSDK</t>
  </si>
  <si>
    <t>PSDK V1.0.0支持列表：EVO Max 4T固件 V1.9.1.13</t>
  </si>
  <si>
    <t>Autel Mobile SDK V2.5.x；Payload SDK V1.0.0；Cloud API V1.3</t>
  </si>
  <si>
    <t>官方规格页含FCC区域参数；FCC ID/FAA具体记录待查</t>
  </si>
  <si>
    <t>https://shop.autelrobotics.com/pages/evo-max-4t-aircraft</t>
  </si>
  <si>
    <t>机体参数、热成像、开发接口/固件均有Autel官方页面或手册证据；FCC/FAA待补</t>
  </si>
  <si>
    <t>已核验（基础/规格/开发接口）</t>
  </si>
  <si>
    <t>Skydio</t>
  </si>
  <si>
    <t>X10</t>
  </si>
  <si>
    <t>巡检/公共安全/远程作业</t>
  </si>
  <si>
    <t>展开含桨 79.0×65.0×14.5 cm；折叠无电池 35.05×16.51×11.94 cm</t>
  </si>
  <si>
    <t>Connect SL约2.11 kg（含电池）</t>
  </si>
  <si>
    <t>2.49 kg</t>
  </si>
  <si>
    <t>40 min</t>
  </si>
  <si>
    <t>35 min</t>
  </si>
  <si>
    <t>20 m/s</t>
  </si>
  <si>
    <t>4572 m（密度高度）</t>
  </si>
  <si>
    <t>12.8 m/s</t>
  </si>
  <si>
    <t>-20~45 °C</t>
  </si>
  <si>
    <t>GNSS；官方标注FAA &amp; EASA Remote ID compliant</t>
  </si>
  <si>
    <t>传感器包可含1-inch 50.3MP广角、0.5-inch 48MP长焦、1/1.7-inch 64MP窄角</t>
  </si>
  <si>
    <t>FLIR Boson+ 非制冷VOx；640×512；&lt;30mK NEDT</t>
  </si>
  <si>
    <t>视觉避障：上下各3摄像头（共6）</t>
  </si>
  <si>
    <t>NVIDIA Jetson Orin SoC + Qualcomm Snapdragon 865 SoC</t>
  </si>
  <si>
    <t>内置磁盘存储（官方说明加密；容量规格页未给）</t>
  </si>
  <si>
    <t>Rev1 8419 mAh/18.55 V/156.17 Wh；Rev2 8800 mAh/17.5 V/154 Wh</t>
  </si>
  <si>
    <t>Connect SL：2400-2483.5 MHz、5150-5850 MHz；Connect 5G：600-960、1700-2200 MHz</t>
  </si>
  <si>
    <t>Skydio Connect SL / Connect 5G；Wi‑Fi 6；LTE/5G</t>
  </si>
  <si>
    <t>Connect SL 12 km；5G在蜂窝覆盖区域可用</t>
  </si>
  <si>
    <t>Attachment ICD支持X10/X10D；Cloud API支持X10；控制/遥测ICD主要面向X10D</t>
  </si>
  <si>
    <t>官方支持文章可查X10固件版本；本表暂不把某一支持文章中的最低版本当作“最新固件”</t>
  </si>
  <si>
    <t>Skydio Cloud API（X10）；Attachment ICD（X10/X10D）</t>
  </si>
  <si>
    <t>官方规格页称GNSS具FAA &amp; EASA Remote ID合规；具体FCC ID/FAA Declaration文件待补</t>
  </si>
  <si>
    <t>https://www.skydio.com/x10/technical-specs</t>
  </si>
  <si>
    <t>机体、传感器、处理器、频段、开发接口均由Skydio官方页面核验；监管证据可继续深化</t>
  </si>
  <si>
    <t>无人机结构化字段候选表（Schema 草案）</t>
  </si>
  <si>
    <t>一级类别</t>
  </si>
  <si>
    <t>字段中文名</t>
  </si>
  <si>
    <t>字段英文名</t>
  </si>
  <si>
    <t>数据类型</t>
  </si>
  <si>
    <t>单位</t>
  </si>
  <si>
    <t>是否必填</t>
  </si>
  <si>
    <t>示例</t>
  </si>
  <si>
    <t>字段定义</t>
  </si>
  <si>
    <t>优先来源依据</t>
  </si>
  <si>
    <t>备注</t>
  </si>
  <si>
    <t>基础信息</t>
  </si>
  <si>
    <t>manufacturer</t>
  </si>
  <si>
    <t>string</t>
  </si>
  <si>
    <t>-</t>
  </si>
  <si>
    <t>是</t>
  </si>
  <si>
    <t>制造商/品牌名称</t>
  </si>
  <si>
    <t>厂商官网</t>
  </si>
  <si>
    <t>model</t>
  </si>
  <si>
    <t>官方产品型号</t>
  </si>
  <si>
    <t>厂商官网/产品页</t>
  </si>
  <si>
    <t>aircraft_type</t>
  </si>
  <si>
    <t>enum</t>
  </si>
  <si>
    <t>否</t>
  </si>
  <si>
    <t>飞行器结构类型</t>
  </si>
  <si>
    <t>产品页/规格书</t>
  </si>
  <si>
    <t>release_date</t>
  </si>
  <si>
    <t>date</t>
  </si>
  <si>
    <t>2022-09</t>
  </si>
  <si>
    <t>首次公开/发布的时间</t>
  </si>
  <si>
    <t>厂商新闻稿/产品页</t>
  </si>
  <si>
    <t>application</t>
  </si>
  <si>
    <t>array&lt;string&gt;</t>
  </si>
  <si>
    <t>测绘,巡检</t>
  </si>
  <si>
    <t>典型应用场景</t>
  </si>
  <si>
    <t>产品页</t>
  </si>
  <si>
    <t>机体参数</t>
  </si>
  <si>
    <t>dimensions</t>
  </si>
  <si>
    <t>mm</t>
  </si>
  <si>
    <t>展开尺寸…</t>
  </si>
  <si>
    <t>机体外形尺寸，可保留原文</t>
  </si>
  <si>
    <t>规格书/用户手册</t>
  </si>
  <si>
    <t>建议同时保留折叠/展开</t>
  </si>
  <si>
    <t>empty_weight</t>
  </si>
  <si>
    <t>number</t>
  </si>
  <si>
    <t>g</t>
  </si>
  <si>
    <t>915</t>
  </si>
  <si>
    <t>不含可选载荷的机体重量</t>
  </si>
  <si>
    <t>规格书</t>
  </si>
  <si>
    <t>max_takeoff_weight</t>
  </si>
  <si>
    <t>1050</t>
  </si>
  <si>
    <t>允许最大起飞总重量</t>
  </si>
  <si>
    <t>max_payload</t>
  </si>
  <si>
    <t>500</t>
  </si>
  <si>
    <t>最大可挂载载荷</t>
  </si>
  <si>
    <t>飞行性能</t>
  </si>
  <si>
    <t>max_flight_time</t>
  </si>
  <si>
    <t>min</t>
  </si>
  <si>
    <t>45</t>
  </si>
  <si>
    <t>规定条件下最大飞行时间</t>
  </si>
  <si>
    <t>规格书/产品页</t>
  </si>
  <si>
    <t>必须记录测试条件</t>
  </si>
  <si>
    <t>max_hover_time</t>
  </si>
  <si>
    <t>38</t>
  </si>
  <si>
    <t>规定条件下最大悬停时间</t>
  </si>
  <si>
    <t>max_horizontal_speed</t>
  </si>
  <si>
    <t>m/s</t>
  </si>
  <si>
    <t>21</t>
  </si>
  <si>
    <t>最大水平飞行速度</t>
  </si>
  <si>
    <t>注意模式/风速条件</t>
  </si>
  <si>
    <t>最大上升速度</t>
  </si>
  <si>
    <t>max_ascent_speed</t>
  </si>
  <si>
    <t>8</t>
  </si>
  <si>
    <t>最大垂直上升速度</t>
  </si>
  <si>
    <t>最大下降速度</t>
  </si>
  <si>
    <t>max_descent_speed</t>
  </si>
  <si>
    <t>6</t>
  </si>
  <si>
    <t>最大垂直下降速度</t>
  </si>
  <si>
    <t>max_takeoff_altitude</t>
  </si>
  <si>
    <t>m</t>
  </si>
  <si>
    <t>6000</t>
  </si>
  <si>
    <t>允许起飞的最大海拔或工作高度</t>
  </si>
  <si>
    <t>与相对飞行高度区分</t>
  </si>
  <si>
    <t>max_wind_resistance</t>
  </si>
  <si>
    <t>可承受风速或风力等级</t>
  </si>
  <si>
    <t>尽量标准化为m/s</t>
  </si>
  <si>
    <t>环境能力</t>
  </si>
  <si>
    <t>operating_temperature</t>
  </si>
  <si>
    <t>range</t>
  </si>
  <si>
    <t>°C</t>
  </si>
  <si>
    <t>-10~40</t>
  </si>
  <si>
    <t>允许工作温度范围</t>
  </si>
  <si>
    <t>规格书/手册</t>
  </si>
  <si>
    <t>防护等级</t>
  </si>
  <si>
    <t>ip_rating</t>
  </si>
  <si>
    <t>IP55</t>
  </si>
  <si>
    <t>整机或部件防尘防水等级</t>
  </si>
  <si>
    <t>导航定位</t>
  </si>
  <si>
    <t>gnss</t>
  </si>
  <si>
    <t>GPS,Galileo,BeiDou</t>
  </si>
  <si>
    <t>支持的卫星导航系统</t>
  </si>
  <si>
    <t>RTK</t>
  </si>
  <si>
    <t>rtk_support</t>
  </si>
  <si>
    <t>boolean</t>
  </si>
  <si>
    <t>TRUE</t>
  </si>
  <si>
    <t>是否支持RTK高精度定位</t>
  </si>
  <si>
    <t>定位精度</t>
  </si>
  <si>
    <t>positioning_accuracy</t>
  </si>
  <si>
    <t>水平±…</t>
  </si>
  <si>
    <t>GNSS/RTK定位精度</t>
  </si>
  <si>
    <t>记录模式</t>
  </si>
  <si>
    <t>传感器</t>
  </si>
  <si>
    <t>可见光相机</t>
  </si>
  <si>
    <t>rgb_camera</t>
  </si>
  <si>
    <t>object</t>
  </si>
  <si>
    <t>4/3 CMOS</t>
  </si>
  <si>
    <t>主可见光相机信息</t>
  </si>
  <si>
    <t>可拆分分辨率/焦距/传感器</t>
  </si>
  <si>
    <t>thermal_camera</t>
  </si>
  <si>
    <t>640×512</t>
  </si>
  <si>
    <t>热红外传感器及分辨率</t>
  </si>
  <si>
    <t>lidar_ranging</t>
  </si>
  <si>
    <t>激光测距…</t>
  </si>
  <si>
    <t>LiDAR/激光测距能力</t>
  </si>
  <si>
    <t>产品页/载荷页</t>
  </si>
  <si>
    <t>避障传感器</t>
  </si>
  <si>
    <t>obstacle_sensing</t>
  </si>
  <si>
    <t>全向视觉</t>
  </si>
  <si>
    <t>避障传感器类型与方向</t>
  </si>
  <si>
    <t>计算平台</t>
  </si>
  <si>
    <t>compute_platform</t>
  </si>
  <si>
    <t>NVIDIA…</t>
  </si>
  <si>
    <t>机载处理平台或AI计算模块</t>
  </si>
  <si>
    <t>开发文档/白皮书</t>
  </si>
  <si>
    <t>若官方未公开则留空</t>
  </si>
  <si>
    <t>存储</t>
  </si>
  <si>
    <t>onboard_storage</t>
  </si>
  <si>
    <t>GB</t>
  </si>
  <si>
    <t>64</t>
  </si>
  <si>
    <t>机身自带存储容量</t>
  </si>
  <si>
    <t>外部存储</t>
  </si>
  <si>
    <t>external_storage</t>
  </si>
  <si>
    <t>microSD</t>
  </si>
  <si>
    <t>可扩展存储方式/最大容量</t>
  </si>
  <si>
    <t>电源</t>
  </si>
  <si>
    <t>电池型号</t>
  </si>
  <si>
    <t>battery_model</t>
  </si>
  <si>
    <t>TB…</t>
  </si>
  <si>
    <t>官方电池型号</t>
  </si>
  <si>
    <t>规格书/配件页</t>
  </si>
  <si>
    <t>电池容量</t>
  </si>
  <si>
    <t>battery_capacity</t>
  </si>
  <si>
    <t>mAh</t>
  </si>
  <si>
    <t>5000</t>
  </si>
  <si>
    <t>标称容量</t>
  </si>
  <si>
    <t>电池规格</t>
  </si>
  <si>
    <t>电池能量</t>
  </si>
  <si>
    <t>battery_energy</t>
  </si>
  <si>
    <t>Wh</t>
  </si>
  <si>
    <t>77</t>
  </si>
  <si>
    <t>标称能量</t>
  </si>
  <si>
    <t>通信</t>
  </si>
  <si>
    <t>工作频段</t>
  </si>
  <si>
    <t>frequency_bands</t>
  </si>
  <si>
    <t>GHz/MHz</t>
  </si>
  <si>
    <t>2.4,5.8</t>
  </si>
  <si>
    <t>遥控/图传/数传工作频段</t>
  </si>
  <si>
    <t>FCC/规格书</t>
  </si>
  <si>
    <t>按地区可能不同</t>
  </si>
  <si>
    <t>video_link_protocol</t>
  </si>
  <si>
    <t>O3 Enterprise</t>
  </si>
  <si>
    <t>厂商定义图传/通信协议</t>
  </si>
  <si>
    <t>最大传输距离</t>
  </si>
  <si>
    <t>max_transmission_range</t>
  </si>
  <si>
    <t>km</t>
  </si>
  <si>
    <t>15</t>
  </si>
  <si>
    <t>规定法规/无遮挡条件下最大链路距离</t>
  </si>
  <si>
    <t>需记录FCC/CE/SRRC条件</t>
  </si>
  <si>
    <t>遥控器型号</t>
  </si>
  <si>
    <t>controller_model</t>
  </si>
  <si>
    <t>RC Plus</t>
  </si>
  <si>
    <t>配套遥控终端型号</t>
  </si>
  <si>
    <t>接口</t>
  </si>
  <si>
    <t>物理接口</t>
  </si>
  <si>
    <t>physical_interfaces</t>
  </si>
  <si>
    <t>USB-C</t>
  </si>
  <si>
    <t>机身/遥控/载荷接口</t>
  </si>
  <si>
    <t>手册/开发文档</t>
  </si>
  <si>
    <t>扩展能力</t>
  </si>
  <si>
    <t>expansion</t>
  </si>
  <si>
    <t>PSDK接口</t>
  </si>
  <si>
    <t>载荷/计算/网络扩展能力</t>
  </si>
  <si>
    <t>SDK/开发文档</t>
  </si>
  <si>
    <t>软件</t>
  </si>
  <si>
    <t>固件版本</t>
  </si>
  <si>
    <t>firmware_version</t>
  </si>
  <si>
    <t>xx.xx</t>
  </si>
  <si>
    <t>当前或资料对应固件版本</t>
  </si>
  <si>
    <t>支持页/发布说明</t>
  </si>
  <si>
    <t>必须记录日期</t>
  </si>
  <si>
    <t>固件发布日期</t>
  </si>
  <si>
    <t>firmware_release_date</t>
  </si>
  <si>
    <t>2026-09-01</t>
  </si>
  <si>
    <t>官方发布说明</t>
  </si>
  <si>
    <t>SDK名称</t>
  </si>
  <si>
    <t>sdk_name</t>
  </si>
  <si>
    <t>Mobile SDK</t>
  </si>
  <si>
    <t>官方开发套件名称</t>
  </si>
  <si>
    <t>开发者官网</t>
  </si>
  <si>
    <t>SDK版本</t>
  </si>
  <si>
    <t>sdk_version</t>
  </si>
  <si>
    <t>v5.x</t>
  </si>
  <si>
    <t>调研时最新或目标SDK版本</t>
  </si>
  <si>
    <t>注明获取日期</t>
  </si>
  <si>
    <t>SDK支持能力</t>
  </si>
  <si>
    <t>sdk_capabilities</t>
  </si>
  <si>
    <t>飞控/相机/载荷</t>
  </si>
  <si>
    <t>SDK可访问能力概述</t>
  </si>
  <si>
    <t>SDK文档</t>
  </si>
  <si>
    <t>协议/开放接口</t>
  </si>
  <si>
    <t>protocols_apis</t>
  </si>
  <si>
    <t>MAVLink/REST…</t>
  </si>
  <si>
    <t>官方公开协议或API</t>
  </si>
  <si>
    <t>开发文档</t>
  </si>
  <si>
    <t>仅填官方确认</t>
  </si>
  <si>
    <t>监管认证</t>
  </si>
  <si>
    <t>FCC ID</t>
  </si>
  <si>
    <t>fcc_id</t>
  </si>
  <si>
    <t>ABC123</t>
  </si>
  <si>
    <t>美国FCC设备标识</t>
  </si>
  <si>
    <t>FCC数据库</t>
  </si>
  <si>
    <t>一机可能多个模块ID</t>
  </si>
  <si>
    <t>FCC申请人</t>
  </si>
  <si>
    <t>fcc_grantee</t>
  </si>
  <si>
    <t>…</t>
  </si>
  <si>
    <t>FCC认证申请主体</t>
  </si>
  <si>
    <t>FAA相关信息</t>
  </si>
  <si>
    <t>faa_info</t>
  </si>
  <si>
    <t>Remote ID…</t>
  </si>
  <si>
    <t>FAA登记/Remote ID/适航相关信息</t>
  </si>
  <si>
    <t>FAA官网</t>
  </si>
  <si>
    <t>不是所有型号都有</t>
  </si>
  <si>
    <t>Remote ID支持</t>
  </si>
  <si>
    <t>remote_id</t>
  </si>
  <si>
    <t>是否支持Remote ID或对应模块</t>
  </si>
  <si>
    <t>FAA/厂商官网</t>
  </si>
  <si>
    <t>其他认证</t>
  </si>
  <si>
    <t>other_certifications</t>
  </si>
  <si>
    <t>CE,SRRC</t>
  </si>
  <si>
    <t>其他地区认证信息</t>
  </si>
  <si>
    <t>监管机构/规格书</t>
  </si>
  <si>
    <t>证据管理</t>
  </si>
  <si>
    <t>来源URL</t>
  </si>
  <si>
    <t>source_url</t>
  </si>
  <si>
    <t>https://…</t>
  </si>
  <si>
    <t>支持该字段的原始来源地址</t>
  </si>
  <si>
    <t>官方原始来源</t>
  </si>
  <si>
    <t>来源文档名</t>
  </si>
  <si>
    <t>source_document</t>
  </si>
  <si>
    <t>User Manual</t>
  </si>
  <si>
    <t>来源文档标题</t>
  </si>
  <si>
    <t>原文</t>
  </si>
  <si>
    <t>页码/段落</t>
  </si>
  <si>
    <t>source_locator</t>
  </si>
  <si>
    <t>p.32 / Specs &gt; Flight</t>
  </si>
  <si>
    <t>证据在原文中的定位</t>
  </si>
  <si>
    <t>PDF/网页</t>
  </si>
  <si>
    <t>网页用章节/段落描述</t>
  </si>
  <si>
    <t>原文摘录</t>
  </si>
  <si>
    <t>source_quote</t>
  </si>
  <si>
    <t>Max flight time…</t>
  </si>
  <si>
    <t>最小充分证据原文</t>
  </si>
  <si>
    <t>避免过长摘录</t>
  </si>
  <si>
    <t>获取日期</t>
  </si>
  <si>
    <t>retrieved_at</t>
  </si>
  <si>
    <t>2026-09-29</t>
  </si>
  <si>
    <t>资料获取/核验日期</t>
  </si>
  <si>
    <t>记录行为</t>
  </si>
  <si>
    <t>核验状态</t>
  </si>
  <si>
    <t>verification_status</t>
  </si>
  <si>
    <t>已核验</t>
  </si>
  <si>
    <t>字段可信状态</t>
  </si>
  <si>
    <t>人工核验</t>
  </si>
  <si>
    <t>来源及证据清单（可追溯证据链）</t>
  </si>
  <si>
    <t>证据ID</t>
  </si>
  <si>
    <t>字段</t>
  </si>
  <si>
    <t>标准化值</t>
  </si>
  <si>
    <t>来源类型</t>
  </si>
  <si>
    <t>文档名称</t>
  </si>
  <si>
    <t>来源机构</t>
  </si>
  <si>
    <t>URL</t>
  </si>
  <si>
    <t>本地文件名</t>
  </si>
  <si>
    <t>可信度/备注</t>
  </si>
  <si>
    <t>E001</t>
  </si>
  <si>
    <t>标准重量</t>
  </si>
  <si>
    <t>产品页/规格页</t>
  </si>
  <si>
    <t>DJI Mavic 3 Enterprise Specs</t>
  </si>
  <si>
    <t>Aircraft &gt; Weight</t>
  </si>
  <si>
    <t>DJI Mavic 3E: 915 g</t>
  </si>
  <si>
    <t>官方规格页已核验</t>
  </si>
  <si>
    <t>E002</t>
  </si>
  <si>
    <t>Aircraft &gt; Max Takeoff Weight</t>
  </si>
  <si>
    <t>DJI Mavic 3E/3T/3TA: 1050 g</t>
  </si>
  <si>
    <t>E003</t>
  </si>
  <si>
    <t>Aircraft &gt; Max Flight Time</t>
  </si>
  <si>
    <t>45 minutes (no wind, standard battery/propellers)</t>
  </si>
  <si>
    <t>E004</t>
  </si>
  <si>
    <t>最大飞行速度</t>
  </si>
  <si>
    <t>Aircraft &gt; Max Flight Speed</t>
  </si>
  <si>
    <t>Sport mode forward: 21 m/s</t>
  </si>
  <si>
    <t>方向/模式条件已保留</t>
  </si>
  <si>
    <t>E005</t>
  </si>
  <si>
    <t>GNSS</t>
  </si>
  <si>
    <t>Aircraft &gt; GNSS</t>
  </si>
  <si>
    <t>GPS+Galileo+BeiDou+GLONASS; GLONASS requires RTK module</t>
  </si>
  <si>
    <t>E006</t>
  </si>
  <si>
    <t>相机</t>
  </si>
  <si>
    <t>4/3 CMOS 20MP + 1/2-inch CMOS 12MP tele</t>
  </si>
  <si>
    <t>Wide Camera / Tele Camera</t>
  </si>
  <si>
    <t>Wide: 4/3 CMOS 20 MP; Tele: 1/2-inch CMOS 12 MP</t>
  </si>
  <si>
    <t>仅针对Mavic 3E</t>
  </si>
  <si>
    <t>E007</t>
  </si>
  <si>
    <t>2.400-2.4835; 5.725-5.850</t>
  </si>
  <si>
    <t>GHz</t>
  </si>
  <si>
    <t>Video Transmission &gt; Operating Frequency</t>
  </si>
  <si>
    <t>2.400-2.4835 GHz; 5.725-5.850 GHz</t>
  </si>
  <si>
    <t>地区法规可能限制</t>
  </si>
  <si>
    <t>E008</t>
  </si>
  <si>
    <t>图传协议</t>
  </si>
  <si>
    <t>Video Transmission</t>
  </si>
  <si>
    <t>E009</t>
  </si>
  <si>
    <t>SDK支持</t>
  </si>
  <si>
    <t>Mobile SDK V5; Payload SDK</t>
  </si>
  <si>
    <t>DJI Developer</t>
  </si>
  <si>
    <t>https://developer.dji.com/mobile-sdk/</t>
  </si>
  <si>
    <t>Supported Products</t>
  </si>
  <si>
    <t>DJI Mavic 3 Enterprise Series is listed as a supported product</t>
  </si>
  <si>
    <t>MSDK官方支持页</t>
  </si>
  <si>
    <t>E010</t>
  </si>
  <si>
    <t>Payload SDK推荐版本</t>
  </si>
  <si>
    <t>PSDK 3.9.2</t>
  </si>
  <si>
    <t>DJI Payload SDK Release Notes</t>
  </si>
  <si>
    <t>https://developer.dji.com/doc/payload-sdk-tutorial/en/</t>
  </si>
  <si>
    <t>PSDK Version Support Information</t>
  </si>
  <si>
    <t>Mavic 3 Enterprise Series: recommended PSDK 3.9.2</t>
  </si>
  <si>
    <t>官方开发者文档</t>
  </si>
  <si>
    <t>E011</t>
  </si>
  <si>
    <t>6.47</t>
  </si>
  <si>
    <t>kg</t>
  </si>
  <si>
    <t>Matrice 350 RTK Specs</t>
  </si>
  <si>
    <t>With two TB65 batteries: approx. 6.47 kg</t>
  </si>
  <si>
    <t>带单下云台、两块电池</t>
  </si>
  <si>
    <t>E012</t>
  </si>
  <si>
    <t>9.2</t>
  </si>
  <si>
    <t>E013</t>
  </si>
  <si>
    <t>55</t>
  </si>
  <si>
    <t>55 minutes</t>
  </si>
  <si>
    <t>约8m/s、无载荷、无风测试条件</t>
  </si>
  <si>
    <t>E014</t>
  </si>
  <si>
    <t>23</t>
  </si>
  <si>
    <t>Aircraft &gt; Max Horizontal Speed</t>
  </si>
  <si>
    <t>E015</t>
  </si>
  <si>
    <t>Aircraft &gt; Global Navigation Satellite System</t>
  </si>
  <si>
    <t>GPS + GLONASS + BeiDou + Galileo</t>
  </si>
  <si>
    <t>E016</t>
  </si>
  <si>
    <t>E017</t>
  </si>
  <si>
    <t>电池</t>
  </si>
  <si>
    <t>TB65 5880mAh 44.76V 263.2Wh</t>
  </si>
  <si>
    <t>Intelligent Flight Battery</t>
  </si>
  <si>
    <t>TB65; 5880 mAh; 44.76 V; 263.2 Wh</t>
  </si>
  <si>
    <t>Li-ion</t>
  </si>
  <si>
    <t>E018</t>
  </si>
  <si>
    <t>Matrice 350 RTK: recommended PSDK 3.9.2</t>
  </si>
  <si>
    <t>E019</t>
  </si>
  <si>
    <t>扩展接口</t>
  </si>
  <si>
    <t>E-Port / gimbal connector / X-Port / SkyPort V2</t>
  </si>
  <si>
    <t>Matrice 350 RTK Device Connection</t>
  </si>
  <si>
    <t>https://developer.dji.com/doc/payload-sdk-tutorial/en/payload-quick-start/device-connect.html</t>
  </si>
  <si>
    <t>Device Connection</t>
  </si>
  <si>
    <t>E-Port, X-Port and SkyPort V2 connection methods are documented</t>
  </si>
  <si>
    <t>官方Payload SDK文档</t>
  </si>
  <si>
    <t>E020</t>
  </si>
  <si>
    <t>1645</t>
  </si>
  <si>
    <t>说明书</t>
  </si>
  <si>
    <t>EVO Max Series Multi-rotor Drone User Manual</t>
  </si>
  <si>
    <t>https://www.autelrobotics.com/wp-content/uploads/2025/03/EN_EVO-Max-Series-Multi-rotor-Drone-User-Manual_V1.2.5.pdf</t>
  </si>
  <si>
    <t>Appendix A, p.160</t>
  </si>
  <si>
    <t>EVO Max 4T Weight: 1645 g (ABX40 battery, Fusion 4T gimbal, propellers included)</t>
  </si>
  <si>
    <t>官方手册</t>
  </si>
  <si>
    <t>E021</t>
  </si>
  <si>
    <t>1999</t>
  </si>
  <si>
    <t>Maximum take-off mass: 1999 g; EU C2: 1890 g</t>
  </si>
  <si>
    <t>E022</t>
  </si>
  <si>
    <t>42</t>
  </si>
  <si>
    <t>EVO Max 4T Aircraft</t>
  </si>
  <si>
    <t>42 min (windless)</t>
  </si>
  <si>
    <t>官方产品规格页</t>
  </si>
  <si>
    <t>E023</t>
  </si>
  <si>
    <t>E024</t>
  </si>
  <si>
    <t>热成像</t>
  </si>
  <si>
    <t>640×512 VOx</t>
  </si>
  <si>
    <t>EVO Max 4T Thermal Camera</t>
  </si>
  <si>
    <t>https://shop.autelrobotics.com/pages/evo-max-4t-thermal-camera</t>
  </si>
  <si>
    <t>Thermal Camera</t>
  </si>
  <si>
    <t>Uncooled VOx microbolometer; 640×512</t>
  </si>
  <si>
    <t>E025</t>
  </si>
  <si>
    <t>900M/2.4G/5.2G/5.8G</t>
  </si>
  <si>
    <t>EVO Max 4T Image Transmission</t>
  </si>
  <si>
    <t>https://shop.autelrobotics.com/pages/evo-max-4t-image-transmission</t>
  </si>
  <si>
    <t>Operating Frequency</t>
  </si>
  <si>
    <t>900M; 2.4G; 5.2G; 5.8G with regional limitations</t>
  </si>
  <si>
    <t>各地区可用频段不同</t>
  </si>
  <si>
    <t>E026</t>
  </si>
  <si>
    <t>MSDK V2.5.x; PSDK V1.0; Cloud API</t>
  </si>
  <si>
    <t>Autel Developer Platform</t>
  </si>
  <si>
    <t>https://developer.autelrobotics.com/</t>
  </si>
  <si>
    <t>Developer homepage</t>
  </si>
  <si>
    <t>Mobile SDK, Payload SDK and Cloud API list EVO Max support</t>
  </si>
  <si>
    <t>官方开发者平台</t>
  </si>
  <si>
    <t>E027</t>
  </si>
  <si>
    <t>固件兼容记录</t>
  </si>
  <si>
    <t>V1.9.1.13</t>
  </si>
  <si>
    <t>Payload SDK Version Release Notes</t>
  </si>
  <si>
    <t>https://developer.autelrobotics.com/doc/payload_sdk/v1/psdk_docs/en/9/1</t>
  </si>
  <si>
    <t>Supported Product List and Firmware Version</t>
  </si>
  <si>
    <t>EVO Max 4T firmware V1.9.1.13 with PSDK V1.0.0</t>
  </si>
  <si>
    <t>SDK兼容版本记录，不等同于最新公开固件</t>
  </si>
  <si>
    <t>E028</t>
  </si>
  <si>
    <t>P-Port + P-Port Lite</t>
  </si>
  <si>
    <t>Selecting Hardware Platform</t>
  </si>
  <si>
    <t>https://developer.autelrobotics.com/doc/payload_sdk/v1/psdk_docs/en/50/3</t>
  </si>
  <si>
    <t>Choosing a Drone</t>
  </si>
  <si>
    <t>Max payload quantity 2: one P-Port, one P-Port Lite</t>
  </si>
  <si>
    <t>E029</t>
  </si>
  <si>
    <t>重量</t>
  </si>
  <si>
    <t>2.11</t>
  </si>
  <si>
    <t>Skydio X10 Technical Specs</t>
  </si>
  <si>
    <t>Connect SL: 4.65 lbs / 2.11 kg</t>
  </si>
  <si>
    <t>含电池</t>
  </si>
  <si>
    <t>E030</t>
  </si>
  <si>
    <t>2.49</t>
  </si>
  <si>
    <t>Aircraft &gt; Max takeoff weight</t>
  </si>
  <si>
    <t>5.49 lbs / 2.49 kg</t>
  </si>
  <si>
    <t>官方规格页</t>
  </si>
  <si>
    <t>E031</t>
  </si>
  <si>
    <t>40</t>
  </si>
  <si>
    <t>Aircraft &gt; Max flight time</t>
  </si>
  <si>
    <t>40 minutes</t>
  </si>
  <si>
    <t>E032</t>
  </si>
  <si>
    <t>核心处理器</t>
  </si>
  <si>
    <t>NVIDIA Jetson Orin + Qualcomm Snapdragon 865</t>
  </si>
  <si>
    <t>Aircraft &gt; Processors</t>
  </si>
  <si>
    <t>NVIDIA Jetson Orin SoC; Qualcomm Snapdragon 865 SoC</t>
  </si>
  <si>
    <t>E033</t>
  </si>
  <si>
    <t>FLIR Boson+; 640×512</t>
  </si>
  <si>
    <t>Thermal camera</t>
  </si>
  <si>
    <t>Flir Boson+ uncooled VOx microbolometer; 640×512</t>
  </si>
  <si>
    <t>传感器包配置相关</t>
  </si>
  <si>
    <t>E034</t>
  </si>
  <si>
    <t>2400-2483.5MHz; 5150-5850MHz; optional 5G bands</t>
  </si>
  <si>
    <t>Aircraft &gt; Operation frequency</t>
  </si>
  <si>
    <t>Connect SL 2.4/5GHz; Connect 5G cellular bands</t>
  </si>
  <si>
    <t>不同连接配置不同</t>
  </si>
  <si>
    <t>E035</t>
  </si>
  <si>
    <t>开发接口</t>
  </si>
  <si>
    <t>Cloud API; Attachment ICD</t>
  </si>
  <si>
    <t>Skydio Developer Tools</t>
  </si>
  <si>
    <t>https://www.skydio.com/developer-tools</t>
  </si>
  <si>
    <t>Cloud API / Attachment ICD</t>
  </si>
  <si>
    <t>Cloud API supports X10; Attachment ICD supports X10/X10D</t>
  </si>
  <si>
    <t>Control &amp; Telemetry ICD主要面向X10D</t>
  </si>
  <si>
    <t>E036</t>
  </si>
  <si>
    <t>Remote ID</t>
  </si>
  <si>
    <t>FAA &amp; EASA Remote ID compliant</t>
  </si>
  <si>
    <t>FAA &amp; EASA remote ID compliant</t>
  </si>
  <si>
    <t>属于官方合规声明；后续仍可补监管原始记录</t>
  </si>
  <si>
    <t>无人机型号资料收集进度表</t>
  </si>
  <si>
    <t>使用说明：每个型号一行。C-L 共10项收集任务，使用“未开始/进行中/已完成/不适用”标记；M列自动计算完成度（已完成或不适用均计入完成）。</t>
  </si>
  <si>
    <t>官网</t>
  </si>
  <si>
    <t>FCC</t>
  </si>
  <si>
    <t>FAA</t>
  </si>
  <si>
    <t>SDK</t>
  </si>
  <si>
    <t>固件</t>
  </si>
  <si>
    <t>已结构化</t>
  </si>
  <si>
    <t>证据已核对</t>
  </si>
  <si>
    <t>完成度</t>
  </si>
  <si>
    <t>待补内容</t>
  </si>
  <si>
    <t>负责人</t>
  </si>
  <si>
    <t>更新时间</t>
  </si>
  <si>
    <t>已完成</t>
  </si>
  <si>
    <t>未开始</t>
  </si>
  <si>
    <t>待补：官方说明书PDF、本机FCC ID/认证记录、FAA/Remote ID监管原始记录</t>
  </si>
  <si>
    <t>待补：官方说明书PDF、FCC ID/认证记录、FAA/Remote ID监管原始记录</t>
  </si>
  <si>
    <t>待补：FCC ID/认证原始记录、FAA/Remote ID监管资料；可继续补相机完整规格</t>
  </si>
  <si>
    <t>进行中</t>
  </si>
  <si>
    <t>待补：说明书/用户手册、具体FCC ID文件、FAA Remote ID监管原始页面、当前固件发布记录</t>
  </si>
  <si>
    <t>无人机型号与结构化资料——验收概览</t>
  </si>
  <si>
    <t>指标</t>
  </si>
  <si>
    <t>数值</t>
  </si>
  <si>
    <t>验收重点</t>
  </si>
  <si>
    <t>判断标准</t>
  </si>
  <si>
    <t>当前型号数</t>
  </si>
  <si>
    <t>型号资料表</t>
  </si>
  <si>
    <t>平均完成度</t>
  </si>
  <si>
    <t>字段候选表</t>
  </si>
  <si>
    <t>字段定义清晰、数据类型与单位一致</t>
  </si>
  <si>
    <t>完成度100%的型号数</t>
  </si>
  <si>
    <t>证据清单</t>
  </si>
  <si>
    <t>每个关键事实可追溯到URL + 页码/段落 + 原文</t>
  </si>
  <si>
    <t>证据条目数</t>
  </si>
  <si>
    <t>进度表</t>
  </si>
  <si>
    <t>能一眼看出每个型号缺什么、完成多少</t>
  </si>
  <si>
    <r>
      <rPr>
        <i/>
        <sz val="11"/>
        <color rgb="FF1F2937"/>
        <rFont val="宋体"/>
        <family val="3"/>
        <charset val="134"/>
      </rPr>
      <t>使用说明：一行对应一个具体无人机型号。优先填写官方来源已核验信息；</t>
    </r>
    <r>
      <rPr>
        <i/>
        <sz val="11"/>
        <color rgb="FF1F2937"/>
        <rFont val="Carlito"/>
      </rPr>
      <t/>
    </r>
    <phoneticPr fontId="5" type="noConversion"/>
  </si>
  <si>
    <r>
      <rPr>
        <i/>
        <sz val="11"/>
        <color rgb="FF1F2937"/>
        <rFont val="宋体"/>
        <family val="3"/>
        <charset val="134"/>
      </rPr>
      <t>使用说明：这里不是某个具体型号的数据，而是为后续数据库</t>
    </r>
    <r>
      <rPr>
        <i/>
        <sz val="11"/>
        <color rgb="FF1F2937"/>
        <rFont val="Carlito"/>
      </rPr>
      <t>/</t>
    </r>
    <r>
      <rPr>
        <i/>
        <sz val="11"/>
        <color rgb="FF1F2937"/>
        <rFont val="宋体"/>
        <family val="3"/>
        <charset val="134"/>
      </rPr>
      <t>知识库设计</t>
    </r>
    <r>
      <rPr>
        <i/>
        <sz val="11"/>
        <color rgb="FF1F2937"/>
        <rFont val="Carlito"/>
      </rPr>
      <t>“</t>
    </r>
    <r>
      <rPr>
        <i/>
        <sz val="11"/>
        <color rgb="FF1F2937"/>
        <rFont val="宋体"/>
        <family val="3"/>
        <charset val="134"/>
      </rPr>
      <t>无人机实体</t>
    </r>
    <r>
      <rPr>
        <i/>
        <sz val="11"/>
        <color rgb="FF1F2937"/>
        <rFont val="Carlito"/>
      </rPr>
      <t>”</t>
    </r>
    <r>
      <rPr>
        <i/>
        <sz val="11"/>
        <color rgb="FF1F2937"/>
        <rFont val="宋体"/>
        <family val="3"/>
        <charset val="134"/>
      </rPr>
      <t>应包含哪些字段。字段可继续增删；优先保留可从官方资料稳定获取、且对检索</t>
    </r>
    <r>
      <rPr>
        <i/>
        <sz val="11"/>
        <color rgb="FF1F2937"/>
        <rFont val="Carlito"/>
      </rPr>
      <t>/</t>
    </r>
    <r>
      <rPr>
        <i/>
        <sz val="11"/>
        <color rgb="FF1F2937"/>
        <rFont val="宋体"/>
        <family val="3"/>
        <charset val="134"/>
      </rPr>
      <t>对比有价值的字段。</t>
    </r>
    <phoneticPr fontId="5" type="noConversion"/>
  </si>
  <si>
    <r>
      <rPr>
        <i/>
        <sz val="11"/>
        <color rgb="FF1F2937"/>
        <rFont val="宋体"/>
        <family val="3"/>
        <charset val="134"/>
      </rPr>
      <t>使用说明：建议</t>
    </r>
    <r>
      <rPr>
        <i/>
        <sz val="11"/>
        <color rgb="FF1F2937"/>
        <rFont val="Carlito"/>
      </rPr>
      <t>“</t>
    </r>
    <r>
      <rPr>
        <i/>
        <sz val="11"/>
        <color rgb="FF1F2937"/>
        <rFont val="宋体"/>
        <family val="3"/>
        <charset val="134"/>
      </rPr>
      <t>一条事实</t>
    </r>
    <r>
      <rPr>
        <i/>
        <sz val="11"/>
        <color rgb="FF1F2937"/>
        <rFont val="Carlito"/>
      </rPr>
      <t>/</t>
    </r>
    <r>
      <rPr>
        <i/>
        <sz val="11"/>
        <color rgb="FF1F2937"/>
        <rFont val="宋体"/>
        <family val="3"/>
        <charset val="134"/>
      </rPr>
      <t>一个字段</t>
    </r>
    <r>
      <rPr>
        <i/>
        <sz val="11"/>
        <color rgb="FF1F2937"/>
        <rFont val="Carlito"/>
      </rPr>
      <t>/</t>
    </r>
    <r>
      <rPr>
        <i/>
        <sz val="11"/>
        <color rgb="FF1F2937"/>
        <rFont val="宋体"/>
        <family val="3"/>
        <charset val="134"/>
      </rPr>
      <t>一条证据</t>
    </r>
    <r>
      <rPr>
        <i/>
        <sz val="11"/>
        <color rgb="FF1F2937"/>
        <rFont val="Carlito"/>
      </rPr>
      <t>”</t>
    </r>
    <r>
      <rPr>
        <i/>
        <sz val="11"/>
        <color rgb="FF1F2937"/>
        <rFont val="宋体"/>
        <family val="3"/>
        <charset val="134"/>
      </rPr>
      <t>占一行。</t>
    </r>
    <r>
      <rPr>
        <i/>
        <sz val="11"/>
        <color rgb="FF1F2937"/>
        <rFont val="Carlito"/>
      </rPr>
      <t>URL</t>
    </r>
    <r>
      <rPr>
        <i/>
        <sz val="11"/>
        <color rgb="FF1F2937"/>
        <rFont val="宋体"/>
        <family val="3"/>
        <charset val="134"/>
      </rPr>
      <t>只是入口，必须尽量记录页码</t>
    </r>
    <r>
      <rPr>
        <i/>
        <sz val="11"/>
        <color rgb="FF1F2937"/>
        <rFont val="Carlito"/>
      </rPr>
      <t>/</t>
    </r>
    <r>
      <rPr>
        <i/>
        <sz val="11"/>
        <color rgb="FF1F2937"/>
        <rFont val="宋体"/>
        <family val="3"/>
        <charset val="134"/>
      </rPr>
      <t>章节</t>
    </r>
    <r>
      <rPr>
        <i/>
        <sz val="11"/>
        <color rgb="FF1F2937"/>
        <rFont val="Carlito"/>
      </rPr>
      <t>/</t>
    </r>
    <r>
      <rPr>
        <i/>
        <sz val="11"/>
        <color rgb="FF1F2937"/>
        <rFont val="宋体"/>
        <family val="3"/>
        <charset val="134"/>
      </rPr>
      <t>段落和最小充分原文。</t>
    </r>
    <phoneticPr fontId="5" type="noConversion"/>
  </si>
  <si>
    <t>每个型号关键参数已结构化</t>
    <phoneticPr fontId="5" type="noConversion"/>
  </si>
  <si>
    <r>
      <rPr>
        <i/>
        <sz val="11"/>
        <color rgb="FF1F2937"/>
        <rFont val="宋体"/>
        <family val="3"/>
        <charset val="134"/>
      </rPr>
      <t>本页汇总当前已核验的</t>
    </r>
    <r>
      <rPr>
        <i/>
        <sz val="11"/>
        <color rgb="FF1F2937"/>
        <rFont val="Carlito"/>
      </rPr>
      <t>4</t>
    </r>
    <r>
      <rPr>
        <i/>
        <sz val="11"/>
        <color rgb="FF1F2937"/>
        <rFont val="宋体"/>
        <family val="3"/>
        <charset val="134"/>
      </rPr>
      <t>个首批型号。基础规格</t>
    </r>
    <r>
      <rPr>
        <i/>
        <sz val="11"/>
        <color rgb="FF1F2937"/>
        <rFont val="Carlito"/>
      </rPr>
      <t>/SDK</t>
    </r>
    <r>
      <rPr>
        <i/>
        <sz val="11"/>
        <color rgb="FF1F2937"/>
        <rFont val="宋体"/>
        <family val="3"/>
        <charset val="134"/>
      </rPr>
      <t>已开始形成证据链；</t>
    </r>
    <r>
      <rPr>
        <i/>
        <sz val="11"/>
        <color rgb="FF1F2937"/>
        <rFont val="Carlito"/>
      </rPr>
      <t>FCC ID</t>
    </r>
    <r>
      <rPr>
        <i/>
        <sz val="11"/>
        <color rgb="FF1F2937"/>
        <rFont val="宋体"/>
        <family val="3"/>
        <charset val="134"/>
      </rPr>
      <t>、</t>
    </r>
    <r>
      <rPr>
        <i/>
        <sz val="11"/>
        <color rgb="FF1F2937"/>
        <rFont val="Carlito"/>
      </rPr>
      <t>FAA/Remote ID</t>
    </r>
    <r>
      <rPr>
        <i/>
        <sz val="11"/>
        <color rgb="FF1F2937"/>
        <rFont val="宋体"/>
        <family val="3"/>
        <charset val="134"/>
      </rPr>
      <t>监管原始记录仍需完善。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</si>
</sst>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b/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i/>
      <sz val="11"/>
      <color rgb="FF1F2937"/>
      <name val="宋体"/>
      <family val="3"/>
      <charset val="134"/>
    </font>
    <font>
      <i/>
      <sz val="11"/>
      <color rgb="FF1F2937"/>
      <name val="Carlito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4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9" fontId="0" fillId="0" borderId="0" xfId="1" applyNumberFormat="1" applyFont="1"/>
    <xf numFmtId="176" fontId="0" fillId="0" borderId="0" xfId="1" applyNumberFormat="1" applyFont="1"/>
    <xf numFmtId="9" fontId="0" fillId="0" borderId="0" xfId="1" applyNumberFormat="1" applyFont="1" applyAlignment="1">
      <alignment vertical="top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7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7">
    <dxf>
      <fill>
        <patternFill>
          <bgColor rgb="FFF2F2F2"/>
        </patternFill>
      </fill>
    </dxf>
    <dxf>
      <fill>
        <patternFill>
          <bgColor rgb="FFFFF4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b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SpecsTable" displayName="ModelSpecsTable" ref="A3:AD7" totalsRowShown="0">
  <tableColumns count="30">
    <tableColumn id="1" xr3:uid="{00000000-0010-0000-0000-000001000000}" name="记录状态"/>
    <tableColumn id="2" xr3:uid="{00000000-0010-0000-0000-000002000000}" name="厂商"/>
    <tableColumn id="3" xr3:uid="{00000000-0010-0000-0000-000003000000}" name="型号"/>
    <tableColumn id="4" xr3:uid="{00000000-0010-0000-0000-000004000000}" name="产品类型"/>
    <tableColumn id="5" xr3:uid="{00000000-0010-0000-0000-000005000000}" name="发布时间"/>
    <tableColumn id="6" xr3:uid="{00000000-0010-0000-0000-000006000000}" name="产品定位/场景"/>
    <tableColumn id="7" xr3:uid="{00000000-0010-0000-0000-000007000000}" name="尺寸"/>
    <tableColumn id="8" xr3:uid="{00000000-0010-0000-0000-000008000000}" name="空机重量"/>
    <tableColumn id="9" xr3:uid="{00000000-0010-0000-0000-000009000000}" name="最大起飞重量"/>
    <tableColumn id="10" xr3:uid="{00000000-0010-0000-0000-00000A000000}" name="最大载荷"/>
    <tableColumn id="11" xr3:uid="{00000000-0010-0000-0000-00000B000000}" name="最大飞行时间"/>
    <tableColumn id="12" xr3:uid="{00000000-0010-0000-0000-00000C000000}" name="最大悬停时间"/>
    <tableColumn id="13" xr3:uid="{00000000-0010-0000-0000-00000D000000}" name="最大水平速度"/>
    <tableColumn id="14" xr3:uid="{00000000-0010-0000-0000-00000E000000}" name="最大起飞海拔/高度"/>
    <tableColumn id="15" xr3:uid="{00000000-0010-0000-0000-00000F000000}" name="最大抗风能力"/>
    <tableColumn id="16" xr3:uid="{00000000-0010-0000-0000-000010000000}" name="工作温度"/>
    <tableColumn id="17" xr3:uid="{00000000-0010-0000-0000-000011000000}" name="GNSS/定位系统"/>
    <tableColumn id="18" xr3:uid="{00000000-0010-0000-0000-000012000000}" name="相机/视觉传感器"/>
    <tableColumn id="19" xr3:uid="{00000000-0010-0000-0000-000013000000}" name="热成像/红外"/>
    <tableColumn id="20" xr3:uid="{00000000-0010-0000-0000-000014000000}" name="LiDAR/测距"/>
    <tableColumn id="21" xr3:uid="{00000000-0010-0000-0000-000015000000}" name="核心处理器/算力平台"/>
    <tableColumn id="22" xr3:uid="{00000000-0010-0000-0000-000016000000}" name="机载存储"/>
    <tableColumn id="23" xr3:uid="{00000000-0010-0000-0000-000017000000}" name="电池型号/容量"/>
    <tableColumn id="24" xr3:uid="{00000000-0010-0000-0000-000018000000}" name="通信频段"/>
    <tableColumn id="25" xr3:uid="{00000000-0010-0000-0000-000019000000}" name="图传/通信协议"/>
    <tableColumn id="26" xr3:uid="{00000000-0010-0000-0000-00001A000000}" name="遥控/数传链路"/>
    <tableColumn id="27" xr3:uid="{00000000-0010-0000-0000-00001B000000}" name="接口/扩展能力"/>
    <tableColumn id="28" xr3:uid="{00000000-0010-0000-0000-00001C000000}" name="固件信息"/>
    <tableColumn id="29" xr3:uid="{00000000-0010-0000-0000-00001D000000}" name="SDK/开发接口"/>
    <tableColumn id="30" xr3:uid="{00000000-0010-0000-0000-00001E000000}" name="FCC ID / FAA相关信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hemaCandidatesTable" displayName="SchemaCandidatesTable" ref="A3:J57" totalsRowShown="0">
  <tableColumns count="10">
    <tableColumn id="1" xr3:uid="{00000000-0010-0000-0100-000001000000}" name="一级类别"/>
    <tableColumn id="2" xr3:uid="{00000000-0010-0000-0100-000002000000}" name="字段中文名"/>
    <tableColumn id="3" xr3:uid="{00000000-0010-0000-0100-000003000000}" name="字段英文名"/>
    <tableColumn id="4" xr3:uid="{00000000-0010-0000-0100-000004000000}" name="数据类型"/>
    <tableColumn id="5" xr3:uid="{00000000-0010-0000-0100-000005000000}" name="单位"/>
    <tableColumn id="6" xr3:uid="{00000000-0010-0000-0100-000006000000}" name="是否必填"/>
    <tableColumn id="7" xr3:uid="{00000000-0010-0000-0100-000007000000}" name="示例"/>
    <tableColumn id="8" xr3:uid="{00000000-0010-0000-0100-000008000000}" name="字段定义"/>
    <tableColumn id="9" xr3:uid="{00000000-0010-0000-0100-000009000000}" name="优先来源依据"/>
    <tableColumn id="10" xr3:uid="{00000000-0010-0000-0100-00000A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Table" displayName="EvidenceTable" ref="A3:O6" totalsRowShown="0">
  <tableColumns count="15">
    <tableColumn id="1" xr3:uid="{00000000-0010-0000-0200-000001000000}" name="证据ID"/>
    <tableColumn id="2" xr3:uid="{00000000-0010-0000-0200-000002000000}" name="厂商"/>
    <tableColumn id="3" xr3:uid="{00000000-0010-0000-0200-000003000000}" name="型号"/>
    <tableColumn id="4" xr3:uid="{00000000-0010-0000-0200-000004000000}" name="字段"/>
    <tableColumn id="5" xr3:uid="{00000000-0010-0000-0200-000005000000}" name="标准化值"/>
    <tableColumn id="6" xr3:uid="{00000000-0010-0000-0200-000006000000}" name="单位"/>
    <tableColumn id="7" xr3:uid="{00000000-0010-0000-0200-000007000000}" name="来源类型"/>
    <tableColumn id="8" xr3:uid="{00000000-0010-0000-0200-000008000000}" name="文档名称"/>
    <tableColumn id="9" xr3:uid="{00000000-0010-0000-0200-000009000000}" name="来源机构"/>
    <tableColumn id="10" xr3:uid="{00000000-0010-0000-0200-00000A000000}" name="URL"/>
    <tableColumn id="11" xr3:uid="{00000000-0010-0000-0200-00000B000000}" name="页码/段落"/>
    <tableColumn id="12" xr3:uid="{00000000-0010-0000-0200-00000C000000}" name="原文摘录"/>
    <tableColumn id="13" xr3:uid="{00000000-0010-0000-0200-00000D000000}" name="获取日期"/>
    <tableColumn id="14" xr3:uid="{00000000-0010-0000-0200-00000E000000}" name="本地文件名"/>
    <tableColumn id="15" xr3:uid="{00000000-0010-0000-0200-00000F000000}" name="可信度/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gressTable" displayName="ProgressTable" ref="A3:P7" totalsRowShown="0">
  <tableColumns count="16">
    <tableColumn id="1" xr3:uid="{00000000-0010-0000-0300-000001000000}" name="厂商"/>
    <tableColumn id="2" xr3:uid="{00000000-0010-0000-0300-000002000000}" name="型号"/>
    <tableColumn id="3" xr3:uid="{00000000-0010-0000-0300-000003000000}" name="官网"/>
    <tableColumn id="4" xr3:uid="{00000000-0010-0000-0300-000004000000}" name="产品页"/>
    <tableColumn id="5" xr3:uid="{00000000-0010-0000-0300-000005000000}" name="说明书"/>
    <tableColumn id="6" xr3:uid="{00000000-0010-0000-0300-000006000000}" name="规格书"/>
    <tableColumn id="7" xr3:uid="{00000000-0010-0000-0300-000007000000}" name="FCC"/>
    <tableColumn id="8" xr3:uid="{00000000-0010-0000-0300-000008000000}" name="FAA"/>
    <tableColumn id="9" xr3:uid="{00000000-0010-0000-0300-000009000000}" name="SDK"/>
    <tableColumn id="10" xr3:uid="{00000000-0010-0000-0300-00000A000000}" name="固件"/>
    <tableColumn id="11" xr3:uid="{00000000-0010-0000-0300-00000B000000}" name="已结构化"/>
    <tableColumn id="12" xr3:uid="{00000000-0010-0000-0300-00000C000000}" name="证据已核对"/>
    <tableColumn id="13" xr3:uid="{00000000-0010-0000-0300-00000D000000}" name="完成度"/>
    <tableColumn id="14" xr3:uid="{00000000-0010-0000-0300-00000E000000}" name="待补内容"/>
    <tableColumn id="15" xr3:uid="{00000000-0010-0000-0300-00000F000000}" name="负责人"/>
    <tableColumn id="16" xr3:uid="{00000000-0010-0000-0300-000010000000}" name="更新时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0"/>
  <sheetViews>
    <sheetView tabSelected="1" workbookViewId="0">
      <selection activeCell="D5" sqref="D5"/>
    </sheetView>
  </sheetViews>
  <sheetFormatPr defaultRowHeight="13.8"/>
  <cols>
    <col min="1" max="1" width="14" customWidth="1"/>
    <col min="2" max="2" width="16" customWidth="1"/>
    <col min="3" max="3" width="22" customWidth="1"/>
    <col min="4" max="4" width="14" customWidth="1"/>
    <col min="5" max="5" width="12" customWidth="1"/>
    <col min="6" max="7" width="20" customWidth="1"/>
    <col min="8" max="8" width="14" customWidth="1"/>
    <col min="9" max="9" width="16" customWidth="1"/>
    <col min="10" max="10" width="14" customWidth="1"/>
    <col min="11" max="13" width="15" customWidth="1"/>
    <col min="14" max="14" width="18" customWidth="1"/>
    <col min="15" max="15" width="16" customWidth="1"/>
    <col min="16" max="16" width="14" customWidth="1"/>
    <col min="17" max="17" width="22" customWidth="1"/>
    <col min="18" max="18" width="30" customWidth="1"/>
    <col min="19" max="20" width="18" customWidth="1"/>
    <col min="21" max="21" width="24" customWidth="1"/>
    <col min="22" max="22" width="16" customWidth="1"/>
    <col min="23" max="24" width="18" customWidth="1"/>
    <col min="25" max="27" width="20" customWidth="1"/>
    <col min="28" max="29" width="22" customWidth="1"/>
    <col min="30" max="30" width="28" customWidth="1"/>
    <col min="31" max="31" width="34" customWidth="1"/>
    <col min="32" max="32" width="44" customWidth="1"/>
  </cols>
  <sheetData>
    <row r="1" spans="1:32" ht="20.8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2" ht="27.15" customHeight="1">
      <c r="A2" s="10" t="s">
        <v>653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2" ht="27.1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7" t="s">
        <v>31</v>
      </c>
      <c r="AF3" s="7" t="s">
        <v>32</v>
      </c>
    </row>
    <row r="4" spans="1:32" ht="55.2">
      <c r="A4" s="2" t="s">
        <v>33</v>
      </c>
      <c r="B4" s="2" t="s">
        <v>34</v>
      </c>
      <c r="C4" s="2" t="s">
        <v>35</v>
      </c>
      <c r="D4" s="2" t="s">
        <v>36</v>
      </c>
      <c r="E4" s="2"/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R4" s="2" t="s">
        <v>49</v>
      </c>
      <c r="S4" s="2" t="s">
        <v>50</v>
      </c>
      <c r="T4" s="2" t="s">
        <v>51</v>
      </c>
      <c r="U4" s="2"/>
      <c r="V4" s="2" t="s">
        <v>52</v>
      </c>
      <c r="W4" s="2" t="s">
        <v>53</v>
      </c>
      <c r="X4" s="2" t="s">
        <v>54</v>
      </c>
      <c r="Y4" s="2" t="s">
        <v>55</v>
      </c>
      <c r="Z4" s="2" t="s">
        <v>56</v>
      </c>
      <c r="AA4" s="2" t="s">
        <v>57</v>
      </c>
      <c r="AB4" s="2" t="s">
        <v>58</v>
      </c>
      <c r="AC4" s="2" t="s">
        <v>59</v>
      </c>
      <c r="AD4" s="2" t="s">
        <v>60</v>
      </c>
      <c r="AE4" s="7" t="s">
        <v>61</v>
      </c>
      <c r="AF4" s="7" t="s">
        <v>62</v>
      </c>
    </row>
    <row r="5" spans="1:32" ht="69">
      <c r="A5" s="2" t="s">
        <v>33</v>
      </c>
      <c r="B5" s="2" t="s">
        <v>34</v>
      </c>
      <c r="C5" s="2" t="s">
        <v>63</v>
      </c>
      <c r="D5" s="2" t="s">
        <v>36</v>
      </c>
      <c r="E5" s="2"/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/>
      <c r="M5" s="2" t="s">
        <v>70</v>
      </c>
      <c r="N5" s="2" t="s">
        <v>71</v>
      </c>
      <c r="O5" s="2" t="s">
        <v>46</v>
      </c>
      <c r="P5" s="2" t="s">
        <v>72</v>
      </c>
      <c r="Q5" s="2" t="s">
        <v>73</v>
      </c>
      <c r="R5" s="2" t="s">
        <v>74</v>
      </c>
      <c r="S5" s="2" t="s">
        <v>75</v>
      </c>
      <c r="T5" s="2" t="s">
        <v>76</v>
      </c>
      <c r="U5" s="2"/>
      <c r="V5" s="2"/>
      <c r="W5" s="2" t="s">
        <v>77</v>
      </c>
      <c r="X5" s="2" t="s">
        <v>78</v>
      </c>
      <c r="Y5" s="2" t="s">
        <v>55</v>
      </c>
      <c r="Z5" s="2" t="s">
        <v>79</v>
      </c>
      <c r="AA5" s="2" t="s">
        <v>80</v>
      </c>
      <c r="AB5" s="2" t="s">
        <v>81</v>
      </c>
      <c r="AC5" s="2" t="s">
        <v>82</v>
      </c>
      <c r="AD5" s="2" t="s">
        <v>83</v>
      </c>
      <c r="AE5" s="7" t="s">
        <v>84</v>
      </c>
      <c r="AF5" s="7" t="s">
        <v>85</v>
      </c>
    </row>
    <row r="6" spans="1:32" ht="69">
      <c r="A6" s="2" t="s">
        <v>33</v>
      </c>
      <c r="B6" s="2" t="s">
        <v>86</v>
      </c>
      <c r="C6" s="2" t="s">
        <v>87</v>
      </c>
      <c r="D6" s="2" t="s">
        <v>36</v>
      </c>
      <c r="E6" s="2"/>
      <c r="F6" s="2" t="s">
        <v>88</v>
      </c>
      <c r="G6" s="2" t="s">
        <v>89</v>
      </c>
      <c r="H6" s="2" t="s">
        <v>90</v>
      </c>
      <c r="I6" s="2" t="s">
        <v>91</v>
      </c>
      <c r="J6" s="2" t="s">
        <v>92</v>
      </c>
      <c r="K6" s="2" t="s">
        <v>93</v>
      </c>
      <c r="L6" s="2" t="s">
        <v>43</v>
      </c>
      <c r="M6" s="2" t="s">
        <v>94</v>
      </c>
      <c r="N6" s="2" t="s">
        <v>95</v>
      </c>
      <c r="O6" s="2" t="s">
        <v>96</v>
      </c>
      <c r="P6" s="2" t="s">
        <v>97</v>
      </c>
      <c r="Q6" s="2" t="s">
        <v>98</v>
      </c>
      <c r="R6" s="2" t="s">
        <v>99</v>
      </c>
      <c r="S6" s="2" t="s">
        <v>100</v>
      </c>
      <c r="T6" s="2" t="s">
        <v>101</v>
      </c>
      <c r="U6" s="2"/>
      <c r="V6" s="2"/>
      <c r="W6" s="2" t="s">
        <v>102</v>
      </c>
      <c r="X6" s="2" t="s">
        <v>103</v>
      </c>
      <c r="Y6" s="2" t="s">
        <v>104</v>
      </c>
      <c r="Z6" s="2" t="s">
        <v>105</v>
      </c>
      <c r="AA6" s="2" t="s">
        <v>106</v>
      </c>
      <c r="AB6" s="2" t="s">
        <v>107</v>
      </c>
      <c r="AC6" s="2" t="s">
        <v>108</v>
      </c>
      <c r="AD6" s="2" t="s">
        <v>109</v>
      </c>
      <c r="AE6" s="7" t="s">
        <v>110</v>
      </c>
      <c r="AF6" s="7" t="s">
        <v>111</v>
      </c>
    </row>
    <row r="7" spans="1:32" ht="69">
      <c r="A7" s="2" t="s">
        <v>112</v>
      </c>
      <c r="B7" s="2" t="s">
        <v>113</v>
      </c>
      <c r="C7" s="2" t="s">
        <v>114</v>
      </c>
      <c r="D7" s="2" t="s">
        <v>36</v>
      </c>
      <c r="E7" s="2"/>
      <c r="F7" s="2" t="s">
        <v>115</v>
      </c>
      <c r="G7" s="2" t="s">
        <v>116</v>
      </c>
      <c r="H7" s="2" t="s">
        <v>117</v>
      </c>
      <c r="I7" s="2" t="s">
        <v>118</v>
      </c>
      <c r="J7" s="2"/>
      <c r="K7" s="2" t="s">
        <v>119</v>
      </c>
      <c r="L7" s="2" t="s">
        <v>120</v>
      </c>
      <c r="M7" s="2" t="s">
        <v>121</v>
      </c>
      <c r="N7" s="2" t="s">
        <v>122</v>
      </c>
      <c r="O7" s="2" t="s">
        <v>123</v>
      </c>
      <c r="P7" s="2" t="s">
        <v>124</v>
      </c>
      <c r="Q7" s="2" t="s">
        <v>125</v>
      </c>
      <c r="R7" s="2" t="s">
        <v>126</v>
      </c>
      <c r="S7" s="2" t="s">
        <v>127</v>
      </c>
      <c r="T7" s="2" t="s">
        <v>128</v>
      </c>
      <c r="U7" s="2" t="s">
        <v>129</v>
      </c>
      <c r="V7" s="2" t="s">
        <v>130</v>
      </c>
      <c r="W7" s="2" t="s">
        <v>131</v>
      </c>
      <c r="X7" s="2" t="s">
        <v>132</v>
      </c>
      <c r="Y7" s="2" t="s">
        <v>133</v>
      </c>
      <c r="Z7" s="2" t="s">
        <v>134</v>
      </c>
      <c r="AA7" s="2" t="s">
        <v>135</v>
      </c>
      <c r="AB7" s="2" t="s">
        <v>136</v>
      </c>
      <c r="AC7" s="2" t="s">
        <v>137</v>
      </c>
      <c r="AD7" s="2" t="s">
        <v>138</v>
      </c>
      <c r="AE7" s="7" t="s">
        <v>139</v>
      </c>
      <c r="AF7" s="7" t="s">
        <v>140</v>
      </c>
    </row>
    <row r="8" spans="1:3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</sheetData>
  <mergeCells count="2">
    <mergeCell ref="A1:AD1"/>
    <mergeCell ref="A2:AD2"/>
  </mergeCells>
  <phoneticPr fontId="5" type="noConversion"/>
  <conditionalFormatting sqref="A4:A500">
    <cfRule type="expression" dxfId="6" priority="1">
      <formula>A4="已核验"</formula>
    </cfRule>
    <cfRule type="expression" dxfId="5" priority="2">
      <formula>A4="示例/待核验"</formula>
    </cfRule>
  </conditionalFormatting>
  <dataValidations count="2">
    <dataValidation type="list" sqref="A4:A500" xr:uid="{00000000-0002-0000-0000-000000000000}">
      <formula1>"已核验,部分核验,示例/待核验,待删除"</formula1>
    </dataValidation>
    <dataValidation type="list" sqref="D4:D500" xr:uid="{00000000-0002-0000-0000-000001000000}">
      <formula1>"四旋翼,六旋翼,八旋翼,固定翼,垂直起降固定翼,其他"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selection activeCell="A2" sqref="A2:J2"/>
    </sheetView>
  </sheetViews>
  <sheetFormatPr defaultRowHeight="13.8"/>
  <cols>
    <col min="1" max="1" width="14" customWidth="1"/>
    <col min="2" max="2" width="20" customWidth="1"/>
    <col min="3" max="3" width="26" customWidth="1"/>
    <col min="4" max="4" width="16" customWidth="1"/>
    <col min="5" max="6" width="12" customWidth="1"/>
    <col min="7" max="7" width="20" customWidth="1"/>
    <col min="8" max="8" width="34" customWidth="1"/>
    <col min="9" max="9" width="24" customWidth="1"/>
    <col min="10" max="10" width="26" customWidth="1"/>
  </cols>
  <sheetData>
    <row r="1" spans="1:10" ht="20.85" customHeight="1">
      <c r="A1" s="8" t="s">
        <v>141</v>
      </c>
      <c r="B1" s="8"/>
      <c r="C1" s="8"/>
      <c r="D1" s="8"/>
      <c r="E1" s="8"/>
      <c r="F1" s="8"/>
      <c r="G1" s="8"/>
      <c r="H1" s="8"/>
      <c r="I1" s="8"/>
      <c r="J1" s="8"/>
    </row>
    <row r="2" spans="1:10" ht="27.15" customHeight="1">
      <c r="A2" s="10" t="s">
        <v>654</v>
      </c>
      <c r="B2" s="9"/>
      <c r="C2" s="9"/>
      <c r="D2" s="9"/>
      <c r="E2" s="9"/>
      <c r="F2" s="9"/>
      <c r="G2" s="9"/>
      <c r="H2" s="9"/>
      <c r="I2" s="9"/>
      <c r="J2" s="9"/>
    </row>
    <row r="3" spans="1:10" ht="27.15" customHeight="1">
      <c r="A3" s="1" t="s">
        <v>142</v>
      </c>
      <c r="B3" s="1" t="s">
        <v>143</v>
      </c>
      <c r="C3" s="1" t="s">
        <v>144</v>
      </c>
      <c r="D3" s="1" t="s">
        <v>145</v>
      </c>
      <c r="E3" s="1" t="s">
        <v>146</v>
      </c>
      <c r="F3" s="1" t="s">
        <v>147</v>
      </c>
      <c r="G3" s="1" t="s">
        <v>148</v>
      </c>
      <c r="H3" s="1" t="s">
        <v>149</v>
      </c>
      <c r="I3" s="1" t="s">
        <v>150</v>
      </c>
      <c r="J3" s="1" t="s">
        <v>151</v>
      </c>
    </row>
    <row r="4" spans="1:10">
      <c r="A4" s="2" t="s">
        <v>152</v>
      </c>
      <c r="B4" s="2" t="s">
        <v>2</v>
      </c>
      <c r="C4" s="2" t="s">
        <v>153</v>
      </c>
      <c r="D4" s="2" t="s">
        <v>154</v>
      </c>
      <c r="E4" s="2" t="s">
        <v>155</v>
      </c>
      <c r="F4" s="2" t="s">
        <v>156</v>
      </c>
      <c r="G4" s="2" t="s">
        <v>34</v>
      </c>
      <c r="H4" s="2" t="s">
        <v>157</v>
      </c>
      <c r="I4" s="2" t="s">
        <v>158</v>
      </c>
      <c r="J4" s="2"/>
    </row>
    <row r="5" spans="1:10">
      <c r="A5" s="2" t="s">
        <v>152</v>
      </c>
      <c r="B5" s="2" t="s">
        <v>3</v>
      </c>
      <c r="C5" s="2" t="s">
        <v>159</v>
      </c>
      <c r="D5" s="2" t="s">
        <v>154</v>
      </c>
      <c r="E5" s="2" t="s">
        <v>155</v>
      </c>
      <c r="F5" s="2" t="s">
        <v>156</v>
      </c>
      <c r="G5" s="2" t="s">
        <v>35</v>
      </c>
      <c r="H5" s="2" t="s">
        <v>160</v>
      </c>
      <c r="I5" s="2" t="s">
        <v>161</v>
      </c>
      <c r="J5" s="2"/>
    </row>
    <row r="6" spans="1:10">
      <c r="A6" s="2" t="s">
        <v>152</v>
      </c>
      <c r="B6" s="2" t="s">
        <v>4</v>
      </c>
      <c r="C6" s="2" t="s">
        <v>162</v>
      </c>
      <c r="D6" s="2" t="s">
        <v>163</v>
      </c>
      <c r="E6" s="2" t="s">
        <v>155</v>
      </c>
      <c r="F6" s="2" t="s">
        <v>164</v>
      </c>
      <c r="G6" s="2" t="s">
        <v>36</v>
      </c>
      <c r="H6" s="2" t="s">
        <v>165</v>
      </c>
      <c r="I6" s="2" t="s">
        <v>166</v>
      </c>
      <c r="J6" s="2"/>
    </row>
    <row r="7" spans="1:10">
      <c r="A7" s="2" t="s">
        <v>152</v>
      </c>
      <c r="B7" s="2" t="s">
        <v>5</v>
      </c>
      <c r="C7" s="2" t="s">
        <v>167</v>
      </c>
      <c r="D7" s="2" t="s">
        <v>168</v>
      </c>
      <c r="E7" s="2" t="s">
        <v>155</v>
      </c>
      <c r="F7" s="2" t="s">
        <v>164</v>
      </c>
      <c r="G7" s="2" t="s">
        <v>169</v>
      </c>
      <c r="H7" s="2" t="s">
        <v>170</v>
      </c>
      <c r="I7" s="2" t="s">
        <v>171</v>
      </c>
      <c r="J7" s="2"/>
    </row>
    <row r="8" spans="1:10">
      <c r="A8" s="2" t="s">
        <v>152</v>
      </c>
      <c r="B8" s="2" t="s">
        <v>6</v>
      </c>
      <c r="C8" s="2" t="s">
        <v>172</v>
      </c>
      <c r="D8" s="2" t="s">
        <v>173</v>
      </c>
      <c r="E8" s="2" t="s">
        <v>155</v>
      </c>
      <c r="F8" s="2" t="s">
        <v>164</v>
      </c>
      <c r="G8" s="2" t="s">
        <v>174</v>
      </c>
      <c r="H8" s="2" t="s">
        <v>175</v>
      </c>
      <c r="I8" s="2" t="s">
        <v>176</v>
      </c>
      <c r="J8" s="2"/>
    </row>
    <row r="9" spans="1:10">
      <c r="A9" s="2" t="s">
        <v>177</v>
      </c>
      <c r="B9" s="2" t="s">
        <v>7</v>
      </c>
      <c r="C9" s="2" t="s">
        <v>178</v>
      </c>
      <c r="D9" s="2" t="s">
        <v>154</v>
      </c>
      <c r="E9" s="2" t="s">
        <v>179</v>
      </c>
      <c r="F9" s="2" t="s">
        <v>164</v>
      </c>
      <c r="G9" s="2" t="s">
        <v>180</v>
      </c>
      <c r="H9" s="2" t="s">
        <v>181</v>
      </c>
      <c r="I9" s="2" t="s">
        <v>182</v>
      </c>
      <c r="J9" s="2" t="s">
        <v>183</v>
      </c>
    </row>
    <row r="10" spans="1:10">
      <c r="A10" s="2" t="s">
        <v>177</v>
      </c>
      <c r="B10" s="2" t="s">
        <v>8</v>
      </c>
      <c r="C10" s="2" t="s">
        <v>184</v>
      </c>
      <c r="D10" s="2" t="s">
        <v>185</v>
      </c>
      <c r="E10" s="2" t="s">
        <v>186</v>
      </c>
      <c r="F10" s="2" t="s">
        <v>164</v>
      </c>
      <c r="G10" s="2" t="s">
        <v>187</v>
      </c>
      <c r="H10" s="2" t="s">
        <v>188</v>
      </c>
      <c r="I10" s="2" t="s">
        <v>189</v>
      </c>
      <c r="J10" s="2"/>
    </row>
    <row r="11" spans="1:10">
      <c r="A11" s="2" t="s">
        <v>177</v>
      </c>
      <c r="B11" s="2" t="s">
        <v>9</v>
      </c>
      <c r="C11" s="2" t="s">
        <v>190</v>
      </c>
      <c r="D11" s="2" t="s">
        <v>185</v>
      </c>
      <c r="E11" s="2" t="s">
        <v>186</v>
      </c>
      <c r="F11" s="2" t="s">
        <v>164</v>
      </c>
      <c r="G11" s="2" t="s">
        <v>191</v>
      </c>
      <c r="H11" s="2" t="s">
        <v>192</v>
      </c>
      <c r="I11" s="2" t="s">
        <v>189</v>
      </c>
      <c r="J11" s="2"/>
    </row>
    <row r="12" spans="1:10">
      <c r="A12" s="2" t="s">
        <v>177</v>
      </c>
      <c r="B12" s="2" t="s">
        <v>10</v>
      </c>
      <c r="C12" s="2" t="s">
        <v>193</v>
      </c>
      <c r="D12" s="2" t="s">
        <v>185</v>
      </c>
      <c r="E12" s="2" t="s">
        <v>186</v>
      </c>
      <c r="F12" s="2" t="s">
        <v>164</v>
      </c>
      <c r="G12" s="2" t="s">
        <v>194</v>
      </c>
      <c r="H12" s="2" t="s">
        <v>195</v>
      </c>
      <c r="I12" s="2" t="s">
        <v>189</v>
      </c>
      <c r="J12" s="2"/>
    </row>
    <row r="13" spans="1:10">
      <c r="A13" s="2" t="s">
        <v>196</v>
      </c>
      <c r="B13" s="2" t="s">
        <v>11</v>
      </c>
      <c r="C13" s="2" t="s">
        <v>197</v>
      </c>
      <c r="D13" s="2" t="s">
        <v>185</v>
      </c>
      <c r="E13" s="2" t="s">
        <v>198</v>
      </c>
      <c r="F13" s="2" t="s">
        <v>164</v>
      </c>
      <c r="G13" s="2" t="s">
        <v>199</v>
      </c>
      <c r="H13" s="2" t="s">
        <v>200</v>
      </c>
      <c r="I13" s="2" t="s">
        <v>201</v>
      </c>
      <c r="J13" s="2" t="s">
        <v>202</v>
      </c>
    </row>
    <row r="14" spans="1:10">
      <c r="A14" s="2" t="s">
        <v>196</v>
      </c>
      <c r="B14" s="2" t="s">
        <v>12</v>
      </c>
      <c r="C14" s="2" t="s">
        <v>203</v>
      </c>
      <c r="D14" s="2" t="s">
        <v>185</v>
      </c>
      <c r="E14" s="2" t="s">
        <v>198</v>
      </c>
      <c r="F14" s="2" t="s">
        <v>164</v>
      </c>
      <c r="G14" s="2" t="s">
        <v>204</v>
      </c>
      <c r="H14" s="2" t="s">
        <v>205</v>
      </c>
      <c r="I14" s="2" t="s">
        <v>189</v>
      </c>
      <c r="J14" s="2" t="s">
        <v>202</v>
      </c>
    </row>
    <row r="15" spans="1:10">
      <c r="A15" s="2" t="s">
        <v>196</v>
      </c>
      <c r="B15" s="2" t="s">
        <v>13</v>
      </c>
      <c r="C15" s="2" t="s">
        <v>206</v>
      </c>
      <c r="D15" s="2" t="s">
        <v>185</v>
      </c>
      <c r="E15" s="2" t="s">
        <v>207</v>
      </c>
      <c r="F15" s="2" t="s">
        <v>164</v>
      </c>
      <c r="G15" s="2" t="s">
        <v>208</v>
      </c>
      <c r="H15" s="2" t="s">
        <v>209</v>
      </c>
      <c r="I15" s="2" t="s">
        <v>189</v>
      </c>
      <c r="J15" s="2" t="s">
        <v>210</v>
      </c>
    </row>
    <row r="16" spans="1:10">
      <c r="A16" s="2" t="s">
        <v>196</v>
      </c>
      <c r="B16" s="2" t="s">
        <v>211</v>
      </c>
      <c r="C16" s="2" t="s">
        <v>212</v>
      </c>
      <c r="D16" s="2" t="s">
        <v>185</v>
      </c>
      <c r="E16" s="2" t="s">
        <v>207</v>
      </c>
      <c r="F16" s="2" t="s">
        <v>164</v>
      </c>
      <c r="G16" s="2" t="s">
        <v>213</v>
      </c>
      <c r="H16" s="2" t="s">
        <v>214</v>
      </c>
      <c r="I16" s="2" t="s">
        <v>189</v>
      </c>
      <c r="J16" s="2"/>
    </row>
    <row r="17" spans="1:10">
      <c r="A17" s="2" t="s">
        <v>196</v>
      </c>
      <c r="B17" s="2" t="s">
        <v>215</v>
      </c>
      <c r="C17" s="2" t="s">
        <v>216</v>
      </c>
      <c r="D17" s="2" t="s">
        <v>185</v>
      </c>
      <c r="E17" s="2" t="s">
        <v>207</v>
      </c>
      <c r="F17" s="2" t="s">
        <v>164</v>
      </c>
      <c r="G17" s="2" t="s">
        <v>217</v>
      </c>
      <c r="H17" s="2" t="s">
        <v>218</v>
      </c>
      <c r="I17" s="2" t="s">
        <v>189</v>
      </c>
      <c r="J17" s="2"/>
    </row>
    <row r="18" spans="1:10">
      <c r="A18" s="2" t="s">
        <v>196</v>
      </c>
      <c r="B18" s="2" t="s">
        <v>14</v>
      </c>
      <c r="C18" s="2" t="s">
        <v>219</v>
      </c>
      <c r="D18" s="2" t="s">
        <v>185</v>
      </c>
      <c r="E18" s="2" t="s">
        <v>220</v>
      </c>
      <c r="F18" s="2" t="s">
        <v>164</v>
      </c>
      <c r="G18" s="2" t="s">
        <v>221</v>
      </c>
      <c r="H18" s="2" t="s">
        <v>222</v>
      </c>
      <c r="I18" s="2" t="s">
        <v>189</v>
      </c>
      <c r="J18" s="2" t="s">
        <v>223</v>
      </c>
    </row>
    <row r="19" spans="1:10">
      <c r="A19" s="2" t="s">
        <v>196</v>
      </c>
      <c r="B19" s="2" t="s">
        <v>15</v>
      </c>
      <c r="C19" s="2" t="s">
        <v>224</v>
      </c>
      <c r="D19" s="2" t="s">
        <v>154</v>
      </c>
      <c r="E19" s="2" t="s">
        <v>155</v>
      </c>
      <c r="F19" s="2" t="s">
        <v>164</v>
      </c>
      <c r="G19" s="2" t="s">
        <v>46</v>
      </c>
      <c r="H19" s="2" t="s">
        <v>225</v>
      </c>
      <c r="I19" s="2" t="s">
        <v>189</v>
      </c>
      <c r="J19" s="2" t="s">
        <v>226</v>
      </c>
    </row>
    <row r="20" spans="1:10">
      <c r="A20" s="2" t="s">
        <v>227</v>
      </c>
      <c r="B20" s="2" t="s">
        <v>16</v>
      </c>
      <c r="C20" s="2" t="s">
        <v>228</v>
      </c>
      <c r="D20" s="2" t="s">
        <v>229</v>
      </c>
      <c r="E20" s="2" t="s">
        <v>230</v>
      </c>
      <c r="F20" s="2" t="s">
        <v>164</v>
      </c>
      <c r="G20" s="2" t="s">
        <v>231</v>
      </c>
      <c r="H20" s="2" t="s">
        <v>232</v>
      </c>
      <c r="I20" s="2" t="s">
        <v>233</v>
      </c>
      <c r="J20" s="2"/>
    </row>
    <row r="21" spans="1:10">
      <c r="A21" s="2" t="s">
        <v>227</v>
      </c>
      <c r="B21" s="2" t="s">
        <v>234</v>
      </c>
      <c r="C21" s="2" t="s">
        <v>235</v>
      </c>
      <c r="D21" s="2" t="s">
        <v>154</v>
      </c>
      <c r="E21" s="2" t="s">
        <v>155</v>
      </c>
      <c r="F21" s="2" t="s">
        <v>164</v>
      </c>
      <c r="G21" s="2" t="s">
        <v>236</v>
      </c>
      <c r="H21" s="2" t="s">
        <v>237</v>
      </c>
      <c r="I21" s="2" t="s">
        <v>189</v>
      </c>
      <c r="J21" s="2"/>
    </row>
    <row r="22" spans="1:10">
      <c r="A22" s="2" t="s">
        <v>238</v>
      </c>
      <c r="B22" s="2" t="s">
        <v>17</v>
      </c>
      <c r="C22" s="2" t="s">
        <v>239</v>
      </c>
      <c r="D22" s="2" t="s">
        <v>173</v>
      </c>
      <c r="E22" s="2" t="s">
        <v>155</v>
      </c>
      <c r="F22" s="2" t="s">
        <v>164</v>
      </c>
      <c r="G22" s="2" t="s">
        <v>240</v>
      </c>
      <c r="H22" s="2" t="s">
        <v>241</v>
      </c>
      <c r="I22" s="2" t="s">
        <v>189</v>
      </c>
      <c r="J22" s="2"/>
    </row>
    <row r="23" spans="1:10">
      <c r="A23" s="2" t="s">
        <v>238</v>
      </c>
      <c r="B23" s="2" t="s">
        <v>242</v>
      </c>
      <c r="C23" s="2" t="s">
        <v>243</v>
      </c>
      <c r="D23" s="2" t="s">
        <v>244</v>
      </c>
      <c r="E23" s="2" t="s">
        <v>155</v>
      </c>
      <c r="F23" s="2" t="s">
        <v>164</v>
      </c>
      <c r="G23" s="2" t="s">
        <v>245</v>
      </c>
      <c r="H23" s="2" t="s">
        <v>246</v>
      </c>
      <c r="I23" s="2" t="s">
        <v>166</v>
      </c>
      <c r="J23" s="2"/>
    </row>
    <row r="24" spans="1:10">
      <c r="A24" s="2" t="s">
        <v>238</v>
      </c>
      <c r="B24" s="2" t="s">
        <v>247</v>
      </c>
      <c r="C24" s="2" t="s">
        <v>248</v>
      </c>
      <c r="D24" s="2" t="s">
        <v>154</v>
      </c>
      <c r="E24" s="2" t="s">
        <v>155</v>
      </c>
      <c r="F24" s="2" t="s">
        <v>164</v>
      </c>
      <c r="G24" s="2" t="s">
        <v>249</v>
      </c>
      <c r="H24" s="2" t="s">
        <v>250</v>
      </c>
      <c r="I24" s="2" t="s">
        <v>189</v>
      </c>
      <c r="J24" s="2" t="s">
        <v>251</v>
      </c>
    </row>
    <row r="25" spans="1:10">
      <c r="A25" s="2" t="s">
        <v>252</v>
      </c>
      <c r="B25" s="2" t="s">
        <v>253</v>
      </c>
      <c r="C25" s="2" t="s">
        <v>254</v>
      </c>
      <c r="D25" s="2" t="s">
        <v>255</v>
      </c>
      <c r="E25" s="2" t="s">
        <v>155</v>
      </c>
      <c r="F25" s="2" t="s">
        <v>164</v>
      </c>
      <c r="G25" s="2" t="s">
        <v>256</v>
      </c>
      <c r="H25" s="2" t="s">
        <v>257</v>
      </c>
      <c r="I25" s="2" t="s">
        <v>166</v>
      </c>
      <c r="J25" s="2" t="s">
        <v>258</v>
      </c>
    </row>
    <row r="26" spans="1:10">
      <c r="A26" s="2" t="s">
        <v>252</v>
      </c>
      <c r="B26" s="2" t="s">
        <v>19</v>
      </c>
      <c r="C26" s="2" t="s">
        <v>259</v>
      </c>
      <c r="D26" s="2" t="s">
        <v>255</v>
      </c>
      <c r="E26" s="2" t="s">
        <v>155</v>
      </c>
      <c r="F26" s="2" t="s">
        <v>164</v>
      </c>
      <c r="G26" s="2" t="s">
        <v>260</v>
      </c>
      <c r="H26" s="2" t="s">
        <v>261</v>
      </c>
      <c r="I26" s="2" t="s">
        <v>166</v>
      </c>
      <c r="J26" s="2"/>
    </row>
    <row r="27" spans="1:10">
      <c r="A27" s="2" t="s">
        <v>252</v>
      </c>
      <c r="B27" s="2" t="s">
        <v>20</v>
      </c>
      <c r="C27" s="2" t="s">
        <v>262</v>
      </c>
      <c r="D27" s="2" t="s">
        <v>255</v>
      </c>
      <c r="E27" s="2" t="s">
        <v>155</v>
      </c>
      <c r="F27" s="2" t="s">
        <v>164</v>
      </c>
      <c r="G27" s="2" t="s">
        <v>263</v>
      </c>
      <c r="H27" s="2" t="s">
        <v>264</v>
      </c>
      <c r="I27" s="2" t="s">
        <v>265</v>
      </c>
      <c r="J27" s="2"/>
    </row>
    <row r="28" spans="1:10">
      <c r="A28" s="2" t="s">
        <v>252</v>
      </c>
      <c r="B28" s="2" t="s">
        <v>266</v>
      </c>
      <c r="C28" s="2" t="s">
        <v>267</v>
      </c>
      <c r="D28" s="2" t="s">
        <v>173</v>
      </c>
      <c r="E28" s="2" t="s">
        <v>155</v>
      </c>
      <c r="F28" s="2" t="s">
        <v>164</v>
      </c>
      <c r="G28" s="2" t="s">
        <v>268</v>
      </c>
      <c r="H28" s="2" t="s">
        <v>269</v>
      </c>
      <c r="I28" s="2" t="s">
        <v>189</v>
      </c>
      <c r="J28" s="2"/>
    </row>
    <row r="29" spans="1:10">
      <c r="A29" s="2" t="s">
        <v>270</v>
      </c>
      <c r="B29" s="2" t="s">
        <v>21</v>
      </c>
      <c r="C29" s="2" t="s">
        <v>271</v>
      </c>
      <c r="D29" s="2" t="s">
        <v>154</v>
      </c>
      <c r="E29" s="2" t="s">
        <v>155</v>
      </c>
      <c r="F29" s="2" t="s">
        <v>164</v>
      </c>
      <c r="G29" s="2" t="s">
        <v>272</v>
      </c>
      <c r="H29" s="2" t="s">
        <v>273</v>
      </c>
      <c r="I29" s="2" t="s">
        <v>274</v>
      </c>
      <c r="J29" s="2" t="s">
        <v>275</v>
      </c>
    </row>
    <row r="30" spans="1:10">
      <c r="A30" s="2" t="s">
        <v>276</v>
      </c>
      <c r="B30" s="2" t="s">
        <v>22</v>
      </c>
      <c r="C30" s="2" t="s">
        <v>277</v>
      </c>
      <c r="D30" s="2" t="s">
        <v>185</v>
      </c>
      <c r="E30" s="2" t="s">
        <v>278</v>
      </c>
      <c r="F30" s="2" t="s">
        <v>164</v>
      </c>
      <c r="G30" s="2" t="s">
        <v>279</v>
      </c>
      <c r="H30" s="2" t="s">
        <v>280</v>
      </c>
      <c r="I30" s="2" t="s">
        <v>189</v>
      </c>
      <c r="J30" s="2"/>
    </row>
    <row r="31" spans="1:10">
      <c r="A31" s="2" t="s">
        <v>276</v>
      </c>
      <c r="B31" s="2" t="s">
        <v>281</v>
      </c>
      <c r="C31" s="2" t="s">
        <v>282</v>
      </c>
      <c r="D31" s="2" t="s">
        <v>154</v>
      </c>
      <c r="E31" s="2" t="s">
        <v>155</v>
      </c>
      <c r="F31" s="2" t="s">
        <v>164</v>
      </c>
      <c r="G31" s="2" t="s">
        <v>283</v>
      </c>
      <c r="H31" s="2" t="s">
        <v>284</v>
      </c>
      <c r="I31" s="2" t="s">
        <v>189</v>
      </c>
      <c r="J31" s="2"/>
    </row>
    <row r="32" spans="1:10">
      <c r="A32" s="2" t="s">
        <v>285</v>
      </c>
      <c r="B32" s="2" t="s">
        <v>286</v>
      </c>
      <c r="C32" s="2" t="s">
        <v>287</v>
      </c>
      <c r="D32" s="2" t="s">
        <v>154</v>
      </c>
      <c r="E32" s="2" t="s">
        <v>155</v>
      </c>
      <c r="F32" s="2" t="s">
        <v>164</v>
      </c>
      <c r="G32" s="2" t="s">
        <v>288</v>
      </c>
      <c r="H32" s="2" t="s">
        <v>289</v>
      </c>
      <c r="I32" s="2" t="s">
        <v>290</v>
      </c>
      <c r="J32" s="2"/>
    </row>
    <row r="33" spans="1:10">
      <c r="A33" s="2" t="s">
        <v>285</v>
      </c>
      <c r="B33" s="2" t="s">
        <v>291</v>
      </c>
      <c r="C33" s="2" t="s">
        <v>292</v>
      </c>
      <c r="D33" s="2" t="s">
        <v>185</v>
      </c>
      <c r="E33" s="2" t="s">
        <v>293</v>
      </c>
      <c r="F33" s="2" t="s">
        <v>164</v>
      </c>
      <c r="G33" s="2" t="s">
        <v>294</v>
      </c>
      <c r="H33" s="2" t="s">
        <v>295</v>
      </c>
      <c r="I33" s="2" t="s">
        <v>296</v>
      </c>
      <c r="J33" s="2"/>
    </row>
    <row r="34" spans="1:10">
      <c r="A34" s="2" t="s">
        <v>285</v>
      </c>
      <c r="B34" s="2" t="s">
        <v>297</v>
      </c>
      <c r="C34" s="2" t="s">
        <v>298</v>
      </c>
      <c r="D34" s="2" t="s">
        <v>185</v>
      </c>
      <c r="E34" s="2" t="s">
        <v>299</v>
      </c>
      <c r="F34" s="2" t="s">
        <v>164</v>
      </c>
      <c r="G34" s="2" t="s">
        <v>300</v>
      </c>
      <c r="H34" s="2" t="s">
        <v>301</v>
      </c>
      <c r="I34" s="2" t="s">
        <v>296</v>
      </c>
      <c r="J34" s="2"/>
    </row>
    <row r="35" spans="1:10">
      <c r="A35" s="2" t="s">
        <v>302</v>
      </c>
      <c r="B35" s="2" t="s">
        <v>303</v>
      </c>
      <c r="C35" s="2" t="s">
        <v>304</v>
      </c>
      <c r="D35" s="2" t="s">
        <v>173</v>
      </c>
      <c r="E35" s="2" t="s">
        <v>305</v>
      </c>
      <c r="F35" s="2" t="s">
        <v>164</v>
      </c>
      <c r="G35" s="2" t="s">
        <v>306</v>
      </c>
      <c r="H35" s="2" t="s">
        <v>307</v>
      </c>
      <c r="I35" s="2" t="s">
        <v>308</v>
      </c>
      <c r="J35" s="2" t="s">
        <v>309</v>
      </c>
    </row>
    <row r="36" spans="1:10">
      <c r="A36" s="2" t="s">
        <v>302</v>
      </c>
      <c r="B36" s="2" t="s">
        <v>25</v>
      </c>
      <c r="C36" s="2" t="s">
        <v>310</v>
      </c>
      <c r="D36" s="2" t="s">
        <v>154</v>
      </c>
      <c r="E36" s="2" t="s">
        <v>155</v>
      </c>
      <c r="F36" s="2" t="s">
        <v>164</v>
      </c>
      <c r="G36" s="2" t="s">
        <v>311</v>
      </c>
      <c r="H36" s="2" t="s">
        <v>312</v>
      </c>
      <c r="I36" s="2" t="s">
        <v>166</v>
      </c>
      <c r="J36" s="2"/>
    </row>
    <row r="37" spans="1:10">
      <c r="A37" s="2" t="s">
        <v>302</v>
      </c>
      <c r="B37" s="2" t="s">
        <v>313</v>
      </c>
      <c r="C37" s="2" t="s">
        <v>314</v>
      </c>
      <c r="D37" s="2" t="s">
        <v>185</v>
      </c>
      <c r="E37" s="2" t="s">
        <v>315</v>
      </c>
      <c r="F37" s="2" t="s">
        <v>164</v>
      </c>
      <c r="G37" s="2" t="s">
        <v>316</v>
      </c>
      <c r="H37" s="2" t="s">
        <v>317</v>
      </c>
      <c r="I37" s="2" t="s">
        <v>189</v>
      </c>
      <c r="J37" s="2" t="s">
        <v>318</v>
      </c>
    </row>
    <row r="38" spans="1:10">
      <c r="A38" s="2" t="s">
        <v>302</v>
      </c>
      <c r="B38" s="2" t="s">
        <v>319</v>
      </c>
      <c r="C38" s="2" t="s">
        <v>320</v>
      </c>
      <c r="D38" s="2" t="s">
        <v>154</v>
      </c>
      <c r="E38" s="2" t="s">
        <v>155</v>
      </c>
      <c r="F38" s="2" t="s">
        <v>164</v>
      </c>
      <c r="G38" s="2" t="s">
        <v>321</v>
      </c>
      <c r="H38" s="2" t="s">
        <v>322</v>
      </c>
      <c r="I38" s="2" t="s">
        <v>176</v>
      </c>
      <c r="J38" s="2"/>
    </row>
    <row r="39" spans="1:10">
      <c r="A39" s="2" t="s">
        <v>323</v>
      </c>
      <c r="B39" s="2" t="s">
        <v>324</v>
      </c>
      <c r="C39" s="2" t="s">
        <v>325</v>
      </c>
      <c r="D39" s="2" t="s">
        <v>173</v>
      </c>
      <c r="E39" s="2" t="s">
        <v>155</v>
      </c>
      <c r="F39" s="2" t="s">
        <v>164</v>
      </c>
      <c r="G39" s="2" t="s">
        <v>326</v>
      </c>
      <c r="H39" s="2" t="s">
        <v>327</v>
      </c>
      <c r="I39" s="2" t="s">
        <v>328</v>
      </c>
      <c r="J39" s="2"/>
    </row>
    <row r="40" spans="1:10">
      <c r="A40" s="2" t="s">
        <v>323</v>
      </c>
      <c r="B40" s="2" t="s">
        <v>329</v>
      </c>
      <c r="C40" s="2" t="s">
        <v>330</v>
      </c>
      <c r="D40" s="2" t="s">
        <v>154</v>
      </c>
      <c r="E40" s="2" t="s">
        <v>155</v>
      </c>
      <c r="F40" s="2" t="s">
        <v>164</v>
      </c>
      <c r="G40" s="2" t="s">
        <v>331</v>
      </c>
      <c r="H40" s="2" t="s">
        <v>332</v>
      </c>
      <c r="I40" s="2" t="s">
        <v>333</v>
      </c>
      <c r="J40" s="2"/>
    </row>
    <row r="41" spans="1:10">
      <c r="A41" s="2" t="s">
        <v>334</v>
      </c>
      <c r="B41" s="2" t="s">
        <v>335</v>
      </c>
      <c r="C41" s="2" t="s">
        <v>336</v>
      </c>
      <c r="D41" s="2" t="s">
        <v>154</v>
      </c>
      <c r="E41" s="2" t="s">
        <v>155</v>
      </c>
      <c r="F41" s="2" t="s">
        <v>164</v>
      </c>
      <c r="G41" s="2" t="s">
        <v>337</v>
      </c>
      <c r="H41" s="2" t="s">
        <v>338</v>
      </c>
      <c r="I41" s="2" t="s">
        <v>339</v>
      </c>
      <c r="J41" s="2" t="s">
        <v>340</v>
      </c>
    </row>
    <row r="42" spans="1:10">
      <c r="A42" s="2" t="s">
        <v>334</v>
      </c>
      <c r="B42" s="2" t="s">
        <v>341</v>
      </c>
      <c r="C42" s="2" t="s">
        <v>342</v>
      </c>
      <c r="D42" s="2" t="s">
        <v>168</v>
      </c>
      <c r="E42" s="2" t="s">
        <v>155</v>
      </c>
      <c r="F42" s="2" t="s">
        <v>164</v>
      </c>
      <c r="G42" s="2" t="s">
        <v>343</v>
      </c>
      <c r="H42" s="2" t="s">
        <v>341</v>
      </c>
      <c r="I42" s="2" t="s">
        <v>344</v>
      </c>
      <c r="J42" s="2"/>
    </row>
    <row r="43" spans="1:10">
      <c r="A43" s="2" t="s">
        <v>334</v>
      </c>
      <c r="B43" s="2" t="s">
        <v>345</v>
      </c>
      <c r="C43" s="2" t="s">
        <v>346</v>
      </c>
      <c r="D43" s="2" t="s">
        <v>173</v>
      </c>
      <c r="E43" s="2" t="s">
        <v>155</v>
      </c>
      <c r="F43" s="2" t="s">
        <v>164</v>
      </c>
      <c r="G43" s="2" t="s">
        <v>347</v>
      </c>
      <c r="H43" s="2" t="s">
        <v>348</v>
      </c>
      <c r="I43" s="2" t="s">
        <v>349</v>
      </c>
      <c r="J43" s="2"/>
    </row>
    <row r="44" spans="1:10">
      <c r="A44" s="2" t="s">
        <v>334</v>
      </c>
      <c r="B44" s="2" t="s">
        <v>350</v>
      </c>
      <c r="C44" s="2" t="s">
        <v>351</v>
      </c>
      <c r="D44" s="2" t="s">
        <v>154</v>
      </c>
      <c r="E44" s="2" t="s">
        <v>155</v>
      </c>
      <c r="F44" s="2" t="s">
        <v>164</v>
      </c>
      <c r="G44" s="2" t="s">
        <v>352</v>
      </c>
      <c r="H44" s="2" t="s">
        <v>353</v>
      </c>
      <c r="I44" s="2" t="s">
        <v>349</v>
      </c>
      <c r="J44" s="2" t="s">
        <v>354</v>
      </c>
    </row>
    <row r="45" spans="1:10">
      <c r="A45" s="2" t="s">
        <v>334</v>
      </c>
      <c r="B45" s="2" t="s">
        <v>355</v>
      </c>
      <c r="C45" s="2" t="s">
        <v>356</v>
      </c>
      <c r="D45" s="2" t="s">
        <v>154</v>
      </c>
      <c r="E45" s="2" t="s">
        <v>155</v>
      </c>
      <c r="F45" s="2" t="s">
        <v>164</v>
      </c>
      <c r="G45" s="2" t="s">
        <v>357</v>
      </c>
      <c r="H45" s="2" t="s">
        <v>358</v>
      </c>
      <c r="I45" s="2" t="s">
        <v>359</v>
      </c>
      <c r="J45" s="2"/>
    </row>
    <row r="46" spans="1:10">
      <c r="A46" s="2" t="s">
        <v>334</v>
      </c>
      <c r="B46" s="2" t="s">
        <v>360</v>
      </c>
      <c r="C46" s="2" t="s">
        <v>361</v>
      </c>
      <c r="D46" s="2" t="s">
        <v>173</v>
      </c>
      <c r="E46" s="2" t="s">
        <v>155</v>
      </c>
      <c r="F46" s="2" t="s">
        <v>164</v>
      </c>
      <c r="G46" s="2" t="s">
        <v>362</v>
      </c>
      <c r="H46" s="2" t="s">
        <v>363</v>
      </c>
      <c r="I46" s="2" t="s">
        <v>364</v>
      </c>
      <c r="J46" s="2" t="s">
        <v>365</v>
      </c>
    </row>
    <row r="47" spans="1:10">
      <c r="A47" s="2" t="s">
        <v>366</v>
      </c>
      <c r="B47" s="2" t="s">
        <v>367</v>
      </c>
      <c r="C47" s="2" t="s">
        <v>368</v>
      </c>
      <c r="D47" s="2" t="s">
        <v>154</v>
      </c>
      <c r="E47" s="2" t="s">
        <v>155</v>
      </c>
      <c r="F47" s="2" t="s">
        <v>164</v>
      </c>
      <c r="G47" s="2" t="s">
        <v>369</v>
      </c>
      <c r="H47" s="2" t="s">
        <v>370</v>
      </c>
      <c r="I47" s="2" t="s">
        <v>371</v>
      </c>
      <c r="J47" s="2" t="s">
        <v>372</v>
      </c>
    </row>
    <row r="48" spans="1:10">
      <c r="A48" s="2" t="s">
        <v>366</v>
      </c>
      <c r="B48" s="2" t="s">
        <v>373</v>
      </c>
      <c r="C48" s="2" t="s">
        <v>374</v>
      </c>
      <c r="D48" s="2" t="s">
        <v>154</v>
      </c>
      <c r="E48" s="2" t="s">
        <v>155</v>
      </c>
      <c r="F48" s="2" t="s">
        <v>164</v>
      </c>
      <c r="G48" s="2" t="s">
        <v>375</v>
      </c>
      <c r="H48" s="2" t="s">
        <v>376</v>
      </c>
      <c r="I48" s="2" t="s">
        <v>371</v>
      </c>
      <c r="J48" s="2"/>
    </row>
    <row r="49" spans="1:10">
      <c r="A49" s="2" t="s">
        <v>366</v>
      </c>
      <c r="B49" s="2" t="s">
        <v>377</v>
      </c>
      <c r="C49" s="2" t="s">
        <v>378</v>
      </c>
      <c r="D49" s="2" t="s">
        <v>154</v>
      </c>
      <c r="E49" s="2" t="s">
        <v>155</v>
      </c>
      <c r="F49" s="2" t="s">
        <v>164</v>
      </c>
      <c r="G49" s="2" t="s">
        <v>379</v>
      </c>
      <c r="H49" s="2" t="s">
        <v>380</v>
      </c>
      <c r="I49" s="2" t="s">
        <v>381</v>
      </c>
      <c r="J49" s="2" t="s">
        <v>382</v>
      </c>
    </row>
    <row r="50" spans="1:10">
      <c r="A50" s="2" t="s">
        <v>366</v>
      </c>
      <c r="B50" s="2" t="s">
        <v>383</v>
      </c>
      <c r="C50" s="2" t="s">
        <v>384</v>
      </c>
      <c r="D50" s="2" t="s">
        <v>244</v>
      </c>
      <c r="E50" s="2" t="s">
        <v>155</v>
      </c>
      <c r="F50" s="2" t="s">
        <v>164</v>
      </c>
      <c r="G50" s="2" t="s">
        <v>245</v>
      </c>
      <c r="H50" s="2" t="s">
        <v>385</v>
      </c>
      <c r="I50" s="2" t="s">
        <v>386</v>
      </c>
      <c r="J50" s="2"/>
    </row>
    <row r="51" spans="1:10">
      <c r="A51" s="2" t="s">
        <v>366</v>
      </c>
      <c r="B51" s="2" t="s">
        <v>387</v>
      </c>
      <c r="C51" s="2" t="s">
        <v>388</v>
      </c>
      <c r="D51" s="2" t="s">
        <v>173</v>
      </c>
      <c r="E51" s="2" t="s">
        <v>155</v>
      </c>
      <c r="F51" s="2" t="s">
        <v>164</v>
      </c>
      <c r="G51" s="2" t="s">
        <v>389</v>
      </c>
      <c r="H51" s="2" t="s">
        <v>390</v>
      </c>
      <c r="I51" s="2" t="s">
        <v>391</v>
      </c>
      <c r="J51" s="2"/>
    </row>
    <row r="52" spans="1:10">
      <c r="A52" s="2" t="s">
        <v>392</v>
      </c>
      <c r="B52" s="2" t="s">
        <v>393</v>
      </c>
      <c r="C52" s="2" t="s">
        <v>394</v>
      </c>
      <c r="D52" s="2" t="s">
        <v>154</v>
      </c>
      <c r="E52" s="2" t="s">
        <v>155</v>
      </c>
      <c r="F52" s="2" t="s">
        <v>156</v>
      </c>
      <c r="G52" s="2" t="s">
        <v>395</v>
      </c>
      <c r="H52" s="2" t="s">
        <v>396</v>
      </c>
      <c r="I52" s="2" t="s">
        <v>397</v>
      </c>
      <c r="J52" s="2"/>
    </row>
    <row r="53" spans="1:10">
      <c r="A53" s="2" t="s">
        <v>392</v>
      </c>
      <c r="B53" s="2" t="s">
        <v>398</v>
      </c>
      <c r="C53" s="2" t="s">
        <v>399</v>
      </c>
      <c r="D53" s="2" t="s">
        <v>154</v>
      </c>
      <c r="E53" s="2" t="s">
        <v>155</v>
      </c>
      <c r="F53" s="2" t="s">
        <v>156</v>
      </c>
      <c r="G53" s="2" t="s">
        <v>400</v>
      </c>
      <c r="H53" s="2" t="s">
        <v>401</v>
      </c>
      <c r="I53" s="2" t="s">
        <v>402</v>
      </c>
      <c r="J53" s="2"/>
    </row>
    <row r="54" spans="1:10">
      <c r="A54" s="2" t="s">
        <v>392</v>
      </c>
      <c r="B54" s="2" t="s">
        <v>403</v>
      </c>
      <c r="C54" s="2" t="s">
        <v>404</v>
      </c>
      <c r="D54" s="2" t="s">
        <v>154</v>
      </c>
      <c r="E54" s="2" t="s">
        <v>155</v>
      </c>
      <c r="F54" s="2" t="s">
        <v>156</v>
      </c>
      <c r="G54" s="2" t="s">
        <v>405</v>
      </c>
      <c r="H54" s="2" t="s">
        <v>406</v>
      </c>
      <c r="I54" s="2" t="s">
        <v>407</v>
      </c>
      <c r="J54" s="2" t="s">
        <v>408</v>
      </c>
    </row>
    <row r="55" spans="1:10">
      <c r="A55" s="2" t="s">
        <v>392</v>
      </c>
      <c r="B55" s="2" t="s">
        <v>409</v>
      </c>
      <c r="C55" s="2" t="s">
        <v>410</v>
      </c>
      <c r="D55" s="2" t="s">
        <v>154</v>
      </c>
      <c r="E55" s="2" t="s">
        <v>155</v>
      </c>
      <c r="F55" s="2" t="s">
        <v>156</v>
      </c>
      <c r="G55" s="2" t="s">
        <v>411</v>
      </c>
      <c r="H55" s="2" t="s">
        <v>412</v>
      </c>
      <c r="I55" s="2" t="s">
        <v>402</v>
      </c>
      <c r="J55" s="2" t="s">
        <v>413</v>
      </c>
    </row>
    <row r="56" spans="1:10">
      <c r="A56" s="2" t="s">
        <v>392</v>
      </c>
      <c r="B56" s="2" t="s">
        <v>414</v>
      </c>
      <c r="C56" s="2" t="s">
        <v>415</v>
      </c>
      <c r="D56" s="2" t="s">
        <v>168</v>
      </c>
      <c r="E56" s="2" t="s">
        <v>155</v>
      </c>
      <c r="F56" s="2" t="s">
        <v>156</v>
      </c>
      <c r="G56" s="2" t="s">
        <v>416</v>
      </c>
      <c r="H56" s="2" t="s">
        <v>417</v>
      </c>
      <c r="I56" s="2" t="s">
        <v>418</v>
      </c>
      <c r="J56" s="2"/>
    </row>
    <row r="57" spans="1:10">
      <c r="A57" s="2" t="s">
        <v>392</v>
      </c>
      <c r="B57" s="2" t="s">
        <v>419</v>
      </c>
      <c r="C57" s="2" t="s">
        <v>420</v>
      </c>
      <c r="D57" s="2" t="s">
        <v>163</v>
      </c>
      <c r="E57" s="2" t="s">
        <v>155</v>
      </c>
      <c r="F57" s="2" t="s">
        <v>156</v>
      </c>
      <c r="G57" s="2" t="s">
        <v>421</v>
      </c>
      <c r="H57" s="2" t="s">
        <v>422</v>
      </c>
      <c r="I57" s="2" t="s">
        <v>423</v>
      </c>
      <c r="J57" s="2"/>
    </row>
  </sheetData>
  <mergeCells count="2">
    <mergeCell ref="A1:J1"/>
    <mergeCell ref="A2:J2"/>
  </mergeCells>
  <phoneticPr fontId="5" type="noConversion"/>
  <dataValidations count="2">
    <dataValidation type="list" sqref="D4:D500" xr:uid="{00000000-0002-0000-0100-000000000000}">
      <formula1>"string,number,boolean,date,enum,range,array&lt;string&gt;,object"</formula1>
    </dataValidation>
    <dataValidation type="list" sqref="F4:F500" xr:uid="{00000000-0002-0000-0100-000001000000}">
      <formula1>"是,否,条件必填"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0"/>
  <sheetViews>
    <sheetView workbookViewId="0">
      <selection activeCell="G6" sqref="F6:G6"/>
    </sheetView>
  </sheetViews>
  <sheetFormatPr defaultRowHeight="13.8"/>
  <cols>
    <col min="1" max="1" width="12" customWidth="1"/>
    <col min="2" max="2" width="16" customWidth="1"/>
    <col min="3" max="3" width="22" customWidth="1"/>
    <col min="4" max="4" width="20" customWidth="1"/>
    <col min="5" max="5" width="18" customWidth="1"/>
    <col min="6" max="6" width="10" customWidth="1"/>
    <col min="7" max="7" width="18" customWidth="1"/>
    <col min="8" max="8" width="28" customWidth="1"/>
    <col min="9" max="9" width="18" customWidth="1"/>
    <col min="10" max="10" width="40" customWidth="1"/>
    <col min="11" max="11" width="18" customWidth="1"/>
    <col min="12" max="12" width="44" customWidth="1"/>
    <col min="13" max="13" width="14" customWidth="1"/>
    <col min="14" max="14" width="28" customWidth="1"/>
    <col min="15" max="15" width="24" customWidth="1"/>
  </cols>
  <sheetData>
    <row r="1" spans="1:15" ht="20.85" customHeight="1">
      <c r="A1" s="8" t="s">
        <v>424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7.15" customHeight="1">
      <c r="A2" s="10" t="s">
        <v>655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27.15" customHeight="1">
      <c r="A3" s="1" t="s">
        <v>425</v>
      </c>
      <c r="B3" s="1" t="s">
        <v>2</v>
      </c>
      <c r="C3" s="1" t="s">
        <v>3</v>
      </c>
      <c r="D3" s="1" t="s">
        <v>426</v>
      </c>
      <c r="E3" s="1" t="s">
        <v>427</v>
      </c>
      <c r="F3" s="1" t="s">
        <v>146</v>
      </c>
      <c r="G3" s="1" t="s">
        <v>428</v>
      </c>
      <c r="H3" s="1" t="s">
        <v>429</v>
      </c>
      <c r="I3" s="1" t="s">
        <v>430</v>
      </c>
      <c r="J3" s="1" t="s">
        <v>431</v>
      </c>
      <c r="K3" s="1" t="s">
        <v>403</v>
      </c>
      <c r="L3" s="1" t="s">
        <v>409</v>
      </c>
      <c r="M3" s="1" t="s">
        <v>414</v>
      </c>
      <c r="N3" s="1" t="s">
        <v>432</v>
      </c>
      <c r="O3" s="1" t="s">
        <v>433</v>
      </c>
    </row>
    <row r="4" spans="1:15" ht="27.6">
      <c r="A4" s="2" t="s">
        <v>434</v>
      </c>
      <c r="B4" s="2" t="s">
        <v>34</v>
      </c>
      <c r="C4" s="2" t="s">
        <v>35</v>
      </c>
      <c r="D4" s="2" t="s">
        <v>435</v>
      </c>
      <c r="E4" s="2" t="s">
        <v>187</v>
      </c>
      <c r="F4" s="2" t="s">
        <v>186</v>
      </c>
      <c r="G4" s="2" t="s">
        <v>436</v>
      </c>
      <c r="H4" s="2" t="s">
        <v>437</v>
      </c>
      <c r="I4" s="2" t="s">
        <v>34</v>
      </c>
      <c r="J4" s="2" t="s">
        <v>61</v>
      </c>
      <c r="K4" s="2" t="s">
        <v>438</v>
      </c>
      <c r="L4" s="2" t="s">
        <v>439</v>
      </c>
      <c r="M4" s="3" t="s">
        <v>416</v>
      </c>
      <c r="N4" s="2"/>
      <c r="O4" s="2" t="s">
        <v>440</v>
      </c>
    </row>
    <row r="5" spans="1:15" ht="27.6">
      <c r="A5" s="2" t="s">
        <v>441</v>
      </c>
      <c r="B5" s="2" t="s">
        <v>34</v>
      </c>
      <c r="C5" s="2" t="s">
        <v>35</v>
      </c>
      <c r="D5" s="2" t="s">
        <v>9</v>
      </c>
      <c r="E5" s="2" t="s">
        <v>191</v>
      </c>
      <c r="F5" s="2" t="s">
        <v>186</v>
      </c>
      <c r="G5" s="2" t="s">
        <v>436</v>
      </c>
      <c r="H5" s="2" t="s">
        <v>437</v>
      </c>
      <c r="I5" s="2" t="s">
        <v>34</v>
      </c>
      <c r="J5" s="2" t="s">
        <v>61</v>
      </c>
      <c r="K5" s="2" t="s">
        <v>442</v>
      </c>
      <c r="L5" s="2" t="s">
        <v>443</v>
      </c>
      <c r="M5" s="3" t="s">
        <v>416</v>
      </c>
      <c r="N5" s="2"/>
      <c r="O5" s="2" t="s">
        <v>440</v>
      </c>
    </row>
    <row r="6" spans="1:15" ht="27.6">
      <c r="A6" s="2" t="s">
        <v>444</v>
      </c>
      <c r="B6" s="2" t="s">
        <v>34</v>
      </c>
      <c r="C6" s="2" t="s">
        <v>35</v>
      </c>
      <c r="D6" s="2" t="s">
        <v>11</v>
      </c>
      <c r="E6" s="2" t="s">
        <v>199</v>
      </c>
      <c r="F6" s="2" t="s">
        <v>198</v>
      </c>
      <c r="G6" s="2" t="s">
        <v>436</v>
      </c>
      <c r="H6" s="2" t="s">
        <v>437</v>
      </c>
      <c r="I6" s="2" t="s">
        <v>34</v>
      </c>
      <c r="J6" s="2" t="s">
        <v>61</v>
      </c>
      <c r="K6" s="2" t="s">
        <v>445</v>
      </c>
      <c r="L6" s="2" t="s">
        <v>446</v>
      </c>
      <c r="M6" s="3" t="s">
        <v>416</v>
      </c>
      <c r="N6" s="2"/>
      <c r="O6" s="2" t="s">
        <v>440</v>
      </c>
    </row>
    <row r="7" spans="1:15" ht="27.6">
      <c r="A7" s="2" t="s">
        <v>447</v>
      </c>
      <c r="B7" s="2" t="s">
        <v>34</v>
      </c>
      <c r="C7" s="2" t="s">
        <v>35</v>
      </c>
      <c r="D7" s="2" t="s">
        <v>448</v>
      </c>
      <c r="E7" s="2" t="s">
        <v>208</v>
      </c>
      <c r="F7" s="2" t="s">
        <v>207</v>
      </c>
      <c r="G7" s="2" t="s">
        <v>436</v>
      </c>
      <c r="H7" s="2" t="s">
        <v>437</v>
      </c>
      <c r="I7" s="2" t="s">
        <v>34</v>
      </c>
      <c r="J7" s="2" t="s">
        <v>61</v>
      </c>
      <c r="K7" s="2" t="s">
        <v>449</v>
      </c>
      <c r="L7" s="2" t="s">
        <v>450</v>
      </c>
      <c r="M7" s="3" t="s">
        <v>416</v>
      </c>
      <c r="N7" s="2"/>
      <c r="O7" s="2" t="s">
        <v>451</v>
      </c>
    </row>
    <row r="8" spans="1:15" ht="27.6">
      <c r="A8" s="2" t="s">
        <v>452</v>
      </c>
      <c r="B8" s="2" t="s">
        <v>34</v>
      </c>
      <c r="C8" s="2" t="s">
        <v>35</v>
      </c>
      <c r="D8" s="2" t="s">
        <v>453</v>
      </c>
      <c r="E8" s="2" t="s">
        <v>98</v>
      </c>
      <c r="F8" s="2" t="s">
        <v>155</v>
      </c>
      <c r="G8" s="2" t="s">
        <v>436</v>
      </c>
      <c r="H8" s="2" t="s">
        <v>437</v>
      </c>
      <c r="I8" s="2" t="s">
        <v>34</v>
      </c>
      <c r="J8" s="2" t="s">
        <v>61</v>
      </c>
      <c r="K8" s="2" t="s">
        <v>454</v>
      </c>
      <c r="L8" s="2" t="s">
        <v>455</v>
      </c>
      <c r="M8" s="3" t="s">
        <v>416</v>
      </c>
      <c r="N8" s="2"/>
      <c r="O8" s="2" t="s">
        <v>440</v>
      </c>
    </row>
    <row r="9" spans="1:15" ht="41.4">
      <c r="A9" s="2" t="s">
        <v>456</v>
      </c>
      <c r="B9" s="2" t="s">
        <v>34</v>
      </c>
      <c r="C9" s="2" t="s">
        <v>35</v>
      </c>
      <c r="D9" s="2" t="s">
        <v>457</v>
      </c>
      <c r="E9" s="2" t="s">
        <v>458</v>
      </c>
      <c r="F9" s="2" t="s">
        <v>155</v>
      </c>
      <c r="G9" s="2" t="s">
        <v>436</v>
      </c>
      <c r="H9" s="2" t="s">
        <v>437</v>
      </c>
      <c r="I9" s="2" t="s">
        <v>34</v>
      </c>
      <c r="J9" s="2" t="s">
        <v>61</v>
      </c>
      <c r="K9" s="2" t="s">
        <v>459</v>
      </c>
      <c r="L9" s="2" t="s">
        <v>460</v>
      </c>
      <c r="M9" s="3" t="s">
        <v>416</v>
      </c>
      <c r="N9" s="2"/>
      <c r="O9" s="2" t="s">
        <v>461</v>
      </c>
    </row>
    <row r="10" spans="1:15" ht="27.6">
      <c r="A10" s="2" t="s">
        <v>462</v>
      </c>
      <c r="B10" s="2" t="s">
        <v>34</v>
      </c>
      <c r="C10" s="2" t="s">
        <v>35</v>
      </c>
      <c r="D10" s="2" t="s">
        <v>303</v>
      </c>
      <c r="E10" s="2" t="s">
        <v>463</v>
      </c>
      <c r="F10" s="2" t="s">
        <v>464</v>
      </c>
      <c r="G10" s="2" t="s">
        <v>436</v>
      </c>
      <c r="H10" s="2" t="s">
        <v>437</v>
      </c>
      <c r="I10" s="2" t="s">
        <v>34</v>
      </c>
      <c r="J10" s="2" t="s">
        <v>61</v>
      </c>
      <c r="K10" s="2" t="s">
        <v>465</v>
      </c>
      <c r="L10" s="2" t="s">
        <v>466</v>
      </c>
      <c r="M10" s="3" t="s">
        <v>416</v>
      </c>
      <c r="N10" s="2"/>
      <c r="O10" s="2" t="s">
        <v>467</v>
      </c>
    </row>
    <row r="11" spans="1:15" ht="27.6">
      <c r="A11" s="2" t="s">
        <v>468</v>
      </c>
      <c r="B11" s="2" t="s">
        <v>34</v>
      </c>
      <c r="C11" s="2" t="s">
        <v>35</v>
      </c>
      <c r="D11" s="2" t="s">
        <v>469</v>
      </c>
      <c r="E11" s="2" t="s">
        <v>55</v>
      </c>
      <c r="F11" s="2" t="s">
        <v>155</v>
      </c>
      <c r="G11" s="2" t="s">
        <v>436</v>
      </c>
      <c r="H11" s="2" t="s">
        <v>437</v>
      </c>
      <c r="I11" s="2" t="s">
        <v>34</v>
      </c>
      <c r="J11" s="2" t="s">
        <v>61</v>
      </c>
      <c r="K11" s="2" t="s">
        <v>470</v>
      </c>
      <c r="L11" s="2" t="s">
        <v>55</v>
      </c>
      <c r="M11" s="3" t="s">
        <v>416</v>
      </c>
      <c r="N11" s="2"/>
      <c r="O11" s="2" t="s">
        <v>440</v>
      </c>
    </row>
    <row r="12" spans="1:15" ht="27.6">
      <c r="A12" s="2" t="s">
        <v>471</v>
      </c>
      <c r="B12" s="2" t="s">
        <v>34</v>
      </c>
      <c r="C12" s="2" t="s">
        <v>35</v>
      </c>
      <c r="D12" s="2" t="s">
        <v>472</v>
      </c>
      <c r="E12" s="2" t="s">
        <v>473</v>
      </c>
      <c r="F12" s="2" t="s">
        <v>155</v>
      </c>
      <c r="G12" s="2" t="s">
        <v>359</v>
      </c>
      <c r="H12" s="2" t="s">
        <v>474</v>
      </c>
      <c r="I12" s="2" t="s">
        <v>34</v>
      </c>
      <c r="J12" s="2" t="s">
        <v>475</v>
      </c>
      <c r="K12" s="2" t="s">
        <v>476</v>
      </c>
      <c r="L12" s="2" t="s">
        <v>477</v>
      </c>
      <c r="M12" s="3" t="s">
        <v>416</v>
      </c>
      <c r="N12" s="2"/>
      <c r="O12" s="2" t="s">
        <v>478</v>
      </c>
    </row>
    <row r="13" spans="1:15" ht="27.6">
      <c r="A13" s="2" t="s">
        <v>479</v>
      </c>
      <c r="B13" s="2" t="s">
        <v>34</v>
      </c>
      <c r="C13" s="2" t="s">
        <v>35</v>
      </c>
      <c r="D13" s="2" t="s">
        <v>480</v>
      </c>
      <c r="E13" s="2" t="s">
        <v>481</v>
      </c>
      <c r="F13" s="2" t="s">
        <v>155</v>
      </c>
      <c r="G13" s="2" t="s">
        <v>359</v>
      </c>
      <c r="H13" s="2" t="s">
        <v>482</v>
      </c>
      <c r="I13" s="2" t="s">
        <v>34</v>
      </c>
      <c r="J13" s="2" t="s">
        <v>483</v>
      </c>
      <c r="K13" s="2" t="s">
        <v>484</v>
      </c>
      <c r="L13" s="2" t="s">
        <v>485</v>
      </c>
      <c r="M13" s="3" t="s">
        <v>416</v>
      </c>
      <c r="N13" s="2"/>
      <c r="O13" s="2" t="s">
        <v>486</v>
      </c>
    </row>
    <row r="14" spans="1:15">
      <c r="A14" s="2" t="s">
        <v>487</v>
      </c>
      <c r="B14" s="2" t="s">
        <v>34</v>
      </c>
      <c r="C14" s="2" t="s">
        <v>63</v>
      </c>
      <c r="D14" s="2" t="s">
        <v>435</v>
      </c>
      <c r="E14" s="2" t="s">
        <v>488</v>
      </c>
      <c r="F14" s="2" t="s">
        <v>489</v>
      </c>
      <c r="G14" s="2" t="s">
        <v>436</v>
      </c>
      <c r="H14" s="2" t="s">
        <v>490</v>
      </c>
      <c r="I14" s="2" t="s">
        <v>34</v>
      </c>
      <c r="J14" s="2" t="s">
        <v>84</v>
      </c>
      <c r="K14" s="2" t="s">
        <v>438</v>
      </c>
      <c r="L14" s="2" t="s">
        <v>491</v>
      </c>
      <c r="M14" s="3" t="s">
        <v>416</v>
      </c>
      <c r="N14" s="2"/>
      <c r="O14" s="2" t="s">
        <v>492</v>
      </c>
    </row>
    <row r="15" spans="1:15" ht="27.6">
      <c r="A15" s="2" t="s">
        <v>493</v>
      </c>
      <c r="B15" s="2" t="s">
        <v>34</v>
      </c>
      <c r="C15" s="2" t="s">
        <v>63</v>
      </c>
      <c r="D15" s="2" t="s">
        <v>9</v>
      </c>
      <c r="E15" s="2" t="s">
        <v>494</v>
      </c>
      <c r="F15" s="2" t="s">
        <v>489</v>
      </c>
      <c r="G15" s="2" t="s">
        <v>436</v>
      </c>
      <c r="H15" s="2" t="s">
        <v>490</v>
      </c>
      <c r="I15" s="2" t="s">
        <v>34</v>
      </c>
      <c r="J15" s="2" t="s">
        <v>84</v>
      </c>
      <c r="K15" s="2" t="s">
        <v>442</v>
      </c>
      <c r="L15" s="2" t="s">
        <v>67</v>
      </c>
      <c r="M15" s="3" t="s">
        <v>416</v>
      </c>
      <c r="N15" s="2"/>
      <c r="O15" s="2" t="s">
        <v>440</v>
      </c>
    </row>
    <row r="16" spans="1:15" ht="27.6">
      <c r="A16" s="2" t="s">
        <v>495</v>
      </c>
      <c r="B16" s="2" t="s">
        <v>34</v>
      </c>
      <c r="C16" s="2" t="s">
        <v>63</v>
      </c>
      <c r="D16" s="2" t="s">
        <v>11</v>
      </c>
      <c r="E16" s="2" t="s">
        <v>496</v>
      </c>
      <c r="F16" s="2" t="s">
        <v>198</v>
      </c>
      <c r="G16" s="2" t="s">
        <v>436</v>
      </c>
      <c r="H16" s="2" t="s">
        <v>490</v>
      </c>
      <c r="I16" s="2" t="s">
        <v>34</v>
      </c>
      <c r="J16" s="2" t="s">
        <v>84</v>
      </c>
      <c r="K16" s="2" t="s">
        <v>445</v>
      </c>
      <c r="L16" s="2" t="s">
        <v>497</v>
      </c>
      <c r="M16" s="3" t="s">
        <v>416</v>
      </c>
      <c r="N16" s="2"/>
      <c r="O16" s="2" t="s">
        <v>498</v>
      </c>
    </row>
    <row r="17" spans="1:15" ht="27.6">
      <c r="A17" s="2" t="s">
        <v>499</v>
      </c>
      <c r="B17" s="2" t="s">
        <v>34</v>
      </c>
      <c r="C17" s="2" t="s">
        <v>63</v>
      </c>
      <c r="D17" s="2" t="s">
        <v>13</v>
      </c>
      <c r="E17" s="2" t="s">
        <v>500</v>
      </c>
      <c r="F17" s="2" t="s">
        <v>207</v>
      </c>
      <c r="G17" s="2" t="s">
        <v>436</v>
      </c>
      <c r="H17" s="2" t="s">
        <v>490</v>
      </c>
      <c r="I17" s="2" t="s">
        <v>34</v>
      </c>
      <c r="J17" s="2" t="s">
        <v>84</v>
      </c>
      <c r="K17" s="2" t="s">
        <v>501</v>
      </c>
      <c r="L17" s="2" t="s">
        <v>70</v>
      </c>
      <c r="M17" s="3" t="s">
        <v>416</v>
      </c>
      <c r="N17" s="2"/>
      <c r="O17" s="2" t="s">
        <v>440</v>
      </c>
    </row>
    <row r="18" spans="1:15" ht="41.4">
      <c r="A18" s="2" t="s">
        <v>502</v>
      </c>
      <c r="B18" s="2" t="s">
        <v>34</v>
      </c>
      <c r="C18" s="2" t="s">
        <v>63</v>
      </c>
      <c r="D18" s="2" t="s">
        <v>453</v>
      </c>
      <c r="E18" s="2" t="s">
        <v>73</v>
      </c>
      <c r="F18" s="2" t="s">
        <v>155</v>
      </c>
      <c r="G18" s="2" t="s">
        <v>436</v>
      </c>
      <c r="H18" s="2" t="s">
        <v>490</v>
      </c>
      <c r="I18" s="2" t="s">
        <v>34</v>
      </c>
      <c r="J18" s="2" t="s">
        <v>84</v>
      </c>
      <c r="K18" s="2" t="s">
        <v>503</v>
      </c>
      <c r="L18" s="2" t="s">
        <v>504</v>
      </c>
      <c r="M18" s="3" t="s">
        <v>416</v>
      </c>
      <c r="N18" s="2"/>
      <c r="O18" s="2" t="s">
        <v>440</v>
      </c>
    </row>
    <row r="19" spans="1:15" ht="27.6">
      <c r="A19" s="2" t="s">
        <v>505</v>
      </c>
      <c r="B19" s="2" t="s">
        <v>34</v>
      </c>
      <c r="C19" s="2" t="s">
        <v>63</v>
      </c>
      <c r="D19" s="2" t="s">
        <v>469</v>
      </c>
      <c r="E19" s="2" t="s">
        <v>55</v>
      </c>
      <c r="F19" s="2" t="s">
        <v>155</v>
      </c>
      <c r="G19" s="2" t="s">
        <v>436</v>
      </c>
      <c r="H19" s="2" t="s">
        <v>490</v>
      </c>
      <c r="I19" s="2" t="s">
        <v>34</v>
      </c>
      <c r="J19" s="2" t="s">
        <v>84</v>
      </c>
      <c r="K19" s="2" t="s">
        <v>470</v>
      </c>
      <c r="L19" s="2" t="s">
        <v>55</v>
      </c>
      <c r="M19" s="3" t="s">
        <v>416</v>
      </c>
      <c r="N19" s="2"/>
      <c r="O19" s="2" t="s">
        <v>440</v>
      </c>
    </row>
    <row r="20" spans="1:15" ht="27.6">
      <c r="A20" s="2" t="s">
        <v>506</v>
      </c>
      <c r="B20" s="2" t="s">
        <v>34</v>
      </c>
      <c r="C20" s="2" t="s">
        <v>63</v>
      </c>
      <c r="D20" s="2" t="s">
        <v>507</v>
      </c>
      <c r="E20" s="2" t="s">
        <v>508</v>
      </c>
      <c r="F20" s="2" t="s">
        <v>155</v>
      </c>
      <c r="G20" s="2" t="s">
        <v>436</v>
      </c>
      <c r="H20" s="2" t="s">
        <v>490</v>
      </c>
      <c r="I20" s="2" t="s">
        <v>34</v>
      </c>
      <c r="J20" s="2" t="s">
        <v>84</v>
      </c>
      <c r="K20" s="2" t="s">
        <v>509</v>
      </c>
      <c r="L20" s="2" t="s">
        <v>510</v>
      </c>
      <c r="M20" s="3" t="s">
        <v>416</v>
      </c>
      <c r="N20" s="2"/>
      <c r="O20" s="2" t="s">
        <v>511</v>
      </c>
    </row>
    <row r="21" spans="1:15" ht="27.6">
      <c r="A21" s="2" t="s">
        <v>512</v>
      </c>
      <c r="B21" s="2" t="s">
        <v>34</v>
      </c>
      <c r="C21" s="2" t="s">
        <v>63</v>
      </c>
      <c r="D21" s="2" t="s">
        <v>480</v>
      </c>
      <c r="E21" s="2" t="s">
        <v>481</v>
      </c>
      <c r="F21" s="2" t="s">
        <v>155</v>
      </c>
      <c r="G21" s="2" t="s">
        <v>359</v>
      </c>
      <c r="H21" s="2" t="s">
        <v>482</v>
      </c>
      <c r="I21" s="2" t="s">
        <v>34</v>
      </c>
      <c r="J21" s="2" t="s">
        <v>483</v>
      </c>
      <c r="K21" s="2" t="s">
        <v>484</v>
      </c>
      <c r="L21" s="2" t="s">
        <v>513</v>
      </c>
      <c r="M21" s="3" t="s">
        <v>416</v>
      </c>
      <c r="N21" s="2"/>
      <c r="O21" s="2" t="s">
        <v>486</v>
      </c>
    </row>
    <row r="22" spans="1:15" ht="41.4">
      <c r="A22" s="2" t="s">
        <v>514</v>
      </c>
      <c r="B22" s="2" t="s">
        <v>34</v>
      </c>
      <c r="C22" s="2" t="s">
        <v>63</v>
      </c>
      <c r="D22" s="2" t="s">
        <v>515</v>
      </c>
      <c r="E22" s="2" t="s">
        <v>516</v>
      </c>
      <c r="F22" s="2" t="s">
        <v>155</v>
      </c>
      <c r="G22" s="2" t="s">
        <v>359</v>
      </c>
      <c r="H22" s="2" t="s">
        <v>517</v>
      </c>
      <c r="I22" s="2" t="s">
        <v>34</v>
      </c>
      <c r="J22" s="2" t="s">
        <v>518</v>
      </c>
      <c r="K22" s="2" t="s">
        <v>519</v>
      </c>
      <c r="L22" s="2" t="s">
        <v>520</v>
      </c>
      <c r="M22" s="3" t="s">
        <v>416</v>
      </c>
      <c r="N22" s="2"/>
      <c r="O22" s="2" t="s">
        <v>521</v>
      </c>
    </row>
    <row r="23" spans="1:15" ht="41.4">
      <c r="A23" s="2" t="s">
        <v>522</v>
      </c>
      <c r="B23" s="2" t="s">
        <v>86</v>
      </c>
      <c r="C23" s="2" t="s">
        <v>87</v>
      </c>
      <c r="D23" s="2" t="s">
        <v>435</v>
      </c>
      <c r="E23" s="2" t="s">
        <v>523</v>
      </c>
      <c r="F23" s="2" t="s">
        <v>186</v>
      </c>
      <c r="G23" s="2" t="s">
        <v>524</v>
      </c>
      <c r="H23" s="2" t="s">
        <v>525</v>
      </c>
      <c r="I23" s="2" t="s">
        <v>86</v>
      </c>
      <c r="J23" s="2" t="s">
        <v>526</v>
      </c>
      <c r="K23" s="2" t="s">
        <v>527</v>
      </c>
      <c r="L23" s="2" t="s">
        <v>528</v>
      </c>
      <c r="M23" s="3" t="s">
        <v>416</v>
      </c>
      <c r="N23" s="2"/>
      <c r="O23" s="2" t="s">
        <v>529</v>
      </c>
    </row>
    <row r="24" spans="1:15" ht="41.4">
      <c r="A24" s="2" t="s">
        <v>530</v>
      </c>
      <c r="B24" s="2" t="s">
        <v>86</v>
      </c>
      <c r="C24" s="2" t="s">
        <v>87</v>
      </c>
      <c r="D24" s="2" t="s">
        <v>9</v>
      </c>
      <c r="E24" s="2" t="s">
        <v>531</v>
      </c>
      <c r="F24" s="2" t="s">
        <v>186</v>
      </c>
      <c r="G24" s="2" t="s">
        <v>524</v>
      </c>
      <c r="H24" s="2" t="s">
        <v>525</v>
      </c>
      <c r="I24" s="2" t="s">
        <v>86</v>
      </c>
      <c r="J24" s="2" t="s">
        <v>526</v>
      </c>
      <c r="K24" s="2" t="s">
        <v>527</v>
      </c>
      <c r="L24" s="2" t="s">
        <v>532</v>
      </c>
      <c r="M24" s="3" t="s">
        <v>416</v>
      </c>
      <c r="N24" s="2"/>
      <c r="O24" s="2" t="s">
        <v>529</v>
      </c>
    </row>
    <row r="25" spans="1:15" ht="27.6">
      <c r="A25" s="2" t="s">
        <v>533</v>
      </c>
      <c r="B25" s="2" t="s">
        <v>86</v>
      </c>
      <c r="C25" s="2" t="s">
        <v>87</v>
      </c>
      <c r="D25" s="2" t="s">
        <v>11</v>
      </c>
      <c r="E25" s="2" t="s">
        <v>534</v>
      </c>
      <c r="F25" s="2" t="s">
        <v>198</v>
      </c>
      <c r="G25" s="2" t="s">
        <v>436</v>
      </c>
      <c r="H25" s="2" t="s">
        <v>535</v>
      </c>
      <c r="I25" s="2" t="s">
        <v>86</v>
      </c>
      <c r="J25" s="2" t="s">
        <v>110</v>
      </c>
      <c r="K25" s="2" t="s">
        <v>445</v>
      </c>
      <c r="L25" s="2" t="s">
        <v>536</v>
      </c>
      <c r="M25" s="3" t="s">
        <v>416</v>
      </c>
      <c r="N25" s="2"/>
      <c r="O25" s="2" t="s">
        <v>537</v>
      </c>
    </row>
    <row r="26" spans="1:15" ht="27.6">
      <c r="A26" s="2" t="s">
        <v>538</v>
      </c>
      <c r="B26" s="2" t="s">
        <v>86</v>
      </c>
      <c r="C26" s="2" t="s">
        <v>87</v>
      </c>
      <c r="D26" s="2" t="s">
        <v>453</v>
      </c>
      <c r="E26" s="2" t="s">
        <v>98</v>
      </c>
      <c r="F26" s="2" t="s">
        <v>155</v>
      </c>
      <c r="G26" s="2" t="s">
        <v>436</v>
      </c>
      <c r="H26" s="2" t="s">
        <v>535</v>
      </c>
      <c r="I26" s="2" t="s">
        <v>86</v>
      </c>
      <c r="J26" s="2" t="s">
        <v>110</v>
      </c>
      <c r="K26" s="2" t="s">
        <v>454</v>
      </c>
      <c r="L26" s="2" t="s">
        <v>98</v>
      </c>
      <c r="M26" s="3" t="s">
        <v>416</v>
      </c>
      <c r="N26" s="2"/>
      <c r="O26" s="2" t="s">
        <v>537</v>
      </c>
    </row>
    <row r="27" spans="1:15" ht="27.6">
      <c r="A27" s="2" t="s">
        <v>539</v>
      </c>
      <c r="B27" s="2" t="s">
        <v>86</v>
      </c>
      <c r="C27" s="2" t="s">
        <v>87</v>
      </c>
      <c r="D27" s="2" t="s">
        <v>540</v>
      </c>
      <c r="E27" s="2" t="s">
        <v>541</v>
      </c>
      <c r="F27" s="2" t="s">
        <v>155</v>
      </c>
      <c r="G27" s="2" t="s">
        <v>436</v>
      </c>
      <c r="H27" s="2" t="s">
        <v>542</v>
      </c>
      <c r="I27" s="2" t="s">
        <v>86</v>
      </c>
      <c r="J27" s="2" t="s">
        <v>543</v>
      </c>
      <c r="K27" s="2" t="s">
        <v>544</v>
      </c>
      <c r="L27" s="2" t="s">
        <v>545</v>
      </c>
      <c r="M27" s="3" t="s">
        <v>416</v>
      </c>
      <c r="N27" s="2"/>
      <c r="O27" s="2" t="s">
        <v>537</v>
      </c>
    </row>
    <row r="28" spans="1:15" ht="27.6">
      <c r="A28" s="2" t="s">
        <v>546</v>
      </c>
      <c r="B28" s="2" t="s">
        <v>86</v>
      </c>
      <c r="C28" s="2" t="s">
        <v>87</v>
      </c>
      <c r="D28" s="2" t="s">
        <v>24</v>
      </c>
      <c r="E28" s="2" t="s">
        <v>547</v>
      </c>
      <c r="F28" s="2" t="s">
        <v>155</v>
      </c>
      <c r="G28" s="2" t="s">
        <v>436</v>
      </c>
      <c r="H28" s="2" t="s">
        <v>548</v>
      </c>
      <c r="I28" s="2" t="s">
        <v>86</v>
      </c>
      <c r="J28" s="2" t="s">
        <v>549</v>
      </c>
      <c r="K28" s="2" t="s">
        <v>550</v>
      </c>
      <c r="L28" s="2" t="s">
        <v>551</v>
      </c>
      <c r="M28" s="3" t="s">
        <v>416</v>
      </c>
      <c r="N28" s="2"/>
      <c r="O28" s="2" t="s">
        <v>552</v>
      </c>
    </row>
    <row r="29" spans="1:15" ht="27.6">
      <c r="A29" s="2" t="s">
        <v>553</v>
      </c>
      <c r="B29" s="2" t="s">
        <v>86</v>
      </c>
      <c r="C29" s="2" t="s">
        <v>87</v>
      </c>
      <c r="D29" s="2" t="s">
        <v>472</v>
      </c>
      <c r="E29" s="2" t="s">
        <v>554</v>
      </c>
      <c r="F29" s="2" t="s">
        <v>155</v>
      </c>
      <c r="G29" s="2" t="s">
        <v>359</v>
      </c>
      <c r="H29" s="2" t="s">
        <v>555</v>
      </c>
      <c r="I29" s="2" t="s">
        <v>86</v>
      </c>
      <c r="J29" s="2" t="s">
        <v>556</v>
      </c>
      <c r="K29" s="2" t="s">
        <v>557</v>
      </c>
      <c r="L29" s="2" t="s">
        <v>558</v>
      </c>
      <c r="M29" s="3" t="s">
        <v>416</v>
      </c>
      <c r="N29" s="2"/>
      <c r="O29" s="2" t="s">
        <v>559</v>
      </c>
    </row>
    <row r="30" spans="1:15" ht="41.4">
      <c r="A30" s="2" t="s">
        <v>560</v>
      </c>
      <c r="B30" s="2" t="s">
        <v>86</v>
      </c>
      <c r="C30" s="2" t="s">
        <v>87</v>
      </c>
      <c r="D30" s="2" t="s">
        <v>561</v>
      </c>
      <c r="E30" s="2" t="s">
        <v>562</v>
      </c>
      <c r="F30" s="2" t="s">
        <v>155</v>
      </c>
      <c r="G30" s="2" t="s">
        <v>359</v>
      </c>
      <c r="H30" s="2" t="s">
        <v>563</v>
      </c>
      <c r="I30" s="2" t="s">
        <v>86</v>
      </c>
      <c r="J30" s="2" t="s">
        <v>564</v>
      </c>
      <c r="K30" s="2" t="s">
        <v>565</v>
      </c>
      <c r="L30" s="2" t="s">
        <v>566</v>
      </c>
      <c r="M30" s="3" t="s">
        <v>416</v>
      </c>
      <c r="N30" s="2"/>
      <c r="O30" s="2" t="s">
        <v>567</v>
      </c>
    </row>
    <row r="31" spans="1:15" ht="27.6">
      <c r="A31" s="2" t="s">
        <v>568</v>
      </c>
      <c r="B31" s="2" t="s">
        <v>86</v>
      </c>
      <c r="C31" s="2" t="s">
        <v>87</v>
      </c>
      <c r="D31" s="2" t="s">
        <v>515</v>
      </c>
      <c r="E31" s="2" t="s">
        <v>569</v>
      </c>
      <c r="F31" s="2" t="s">
        <v>155</v>
      </c>
      <c r="G31" s="2" t="s">
        <v>359</v>
      </c>
      <c r="H31" s="2" t="s">
        <v>570</v>
      </c>
      <c r="I31" s="2" t="s">
        <v>86</v>
      </c>
      <c r="J31" s="2" t="s">
        <v>571</v>
      </c>
      <c r="K31" s="2" t="s">
        <v>572</v>
      </c>
      <c r="L31" s="2" t="s">
        <v>573</v>
      </c>
      <c r="M31" s="3" t="s">
        <v>416</v>
      </c>
      <c r="N31" s="2"/>
      <c r="O31" s="2" t="s">
        <v>486</v>
      </c>
    </row>
    <row r="32" spans="1:15">
      <c r="A32" s="2" t="s">
        <v>574</v>
      </c>
      <c r="B32" s="2" t="s">
        <v>113</v>
      </c>
      <c r="C32" s="2" t="s">
        <v>114</v>
      </c>
      <c r="D32" s="2" t="s">
        <v>575</v>
      </c>
      <c r="E32" s="2" t="s">
        <v>576</v>
      </c>
      <c r="F32" s="2" t="s">
        <v>489</v>
      </c>
      <c r="G32" s="2" t="s">
        <v>436</v>
      </c>
      <c r="H32" s="2" t="s">
        <v>577</v>
      </c>
      <c r="I32" s="2" t="s">
        <v>113</v>
      </c>
      <c r="J32" s="2" t="s">
        <v>139</v>
      </c>
      <c r="K32" s="2" t="s">
        <v>438</v>
      </c>
      <c r="L32" s="2" t="s">
        <v>578</v>
      </c>
      <c r="M32" s="3" t="s">
        <v>416</v>
      </c>
      <c r="N32" s="2"/>
      <c r="O32" s="2" t="s">
        <v>579</v>
      </c>
    </row>
    <row r="33" spans="1:15" ht="27.6">
      <c r="A33" s="2" t="s">
        <v>580</v>
      </c>
      <c r="B33" s="2" t="s">
        <v>113</v>
      </c>
      <c r="C33" s="2" t="s">
        <v>114</v>
      </c>
      <c r="D33" s="2" t="s">
        <v>9</v>
      </c>
      <c r="E33" s="2" t="s">
        <v>581</v>
      </c>
      <c r="F33" s="2" t="s">
        <v>489</v>
      </c>
      <c r="G33" s="2" t="s">
        <v>436</v>
      </c>
      <c r="H33" s="2" t="s">
        <v>577</v>
      </c>
      <c r="I33" s="2" t="s">
        <v>113</v>
      </c>
      <c r="J33" s="2" t="s">
        <v>139</v>
      </c>
      <c r="K33" s="2" t="s">
        <v>582</v>
      </c>
      <c r="L33" s="2" t="s">
        <v>583</v>
      </c>
      <c r="M33" s="3" t="s">
        <v>416</v>
      </c>
      <c r="N33" s="2"/>
      <c r="O33" s="2" t="s">
        <v>584</v>
      </c>
    </row>
    <row r="34" spans="1:15" ht="27.6">
      <c r="A34" s="2" t="s">
        <v>585</v>
      </c>
      <c r="B34" s="2" t="s">
        <v>113</v>
      </c>
      <c r="C34" s="2" t="s">
        <v>114</v>
      </c>
      <c r="D34" s="2" t="s">
        <v>11</v>
      </c>
      <c r="E34" s="2" t="s">
        <v>586</v>
      </c>
      <c r="F34" s="2" t="s">
        <v>198</v>
      </c>
      <c r="G34" s="2" t="s">
        <v>436</v>
      </c>
      <c r="H34" s="2" t="s">
        <v>577</v>
      </c>
      <c r="I34" s="2" t="s">
        <v>113</v>
      </c>
      <c r="J34" s="2" t="s">
        <v>139</v>
      </c>
      <c r="K34" s="2" t="s">
        <v>587</v>
      </c>
      <c r="L34" s="2" t="s">
        <v>588</v>
      </c>
      <c r="M34" s="3" t="s">
        <v>416</v>
      </c>
      <c r="N34" s="2"/>
      <c r="O34" s="2" t="s">
        <v>584</v>
      </c>
    </row>
    <row r="35" spans="1:15" ht="41.4">
      <c r="A35" s="2" t="s">
        <v>589</v>
      </c>
      <c r="B35" s="2" t="s">
        <v>113</v>
      </c>
      <c r="C35" s="2" t="s">
        <v>114</v>
      </c>
      <c r="D35" s="2" t="s">
        <v>590</v>
      </c>
      <c r="E35" s="2" t="s">
        <v>591</v>
      </c>
      <c r="F35" s="2" t="s">
        <v>155</v>
      </c>
      <c r="G35" s="2" t="s">
        <v>436</v>
      </c>
      <c r="H35" s="2" t="s">
        <v>577</v>
      </c>
      <c r="I35" s="2" t="s">
        <v>113</v>
      </c>
      <c r="J35" s="2" t="s">
        <v>139</v>
      </c>
      <c r="K35" s="2" t="s">
        <v>592</v>
      </c>
      <c r="L35" s="2" t="s">
        <v>593</v>
      </c>
      <c r="M35" s="3" t="s">
        <v>416</v>
      </c>
      <c r="N35" s="2"/>
      <c r="O35" s="2" t="s">
        <v>584</v>
      </c>
    </row>
    <row r="36" spans="1:15" ht="27.6">
      <c r="A36" s="2" t="s">
        <v>594</v>
      </c>
      <c r="B36" s="2" t="s">
        <v>113</v>
      </c>
      <c r="C36" s="2" t="s">
        <v>114</v>
      </c>
      <c r="D36" s="2" t="s">
        <v>540</v>
      </c>
      <c r="E36" s="2" t="s">
        <v>595</v>
      </c>
      <c r="F36" s="2" t="s">
        <v>155</v>
      </c>
      <c r="G36" s="2" t="s">
        <v>436</v>
      </c>
      <c r="H36" s="2" t="s">
        <v>577</v>
      </c>
      <c r="I36" s="2" t="s">
        <v>113</v>
      </c>
      <c r="J36" s="2" t="s">
        <v>139</v>
      </c>
      <c r="K36" s="2" t="s">
        <v>596</v>
      </c>
      <c r="L36" s="2" t="s">
        <v>597</v>
      </c>
      <c r="M36" s="3" t="s">
        <v>416</v>
      </c>
      <c r="N36" s="2"/>
      <c r="O36" s="2" t="s">
        <v>598</v>
      </c>
    </row>
    <row r="37" spans="1:15" ht="41.4">
      <c r="A37" s="2" t="s">
        <v>599</v>
      </c>
      <c r="B37" s="2" t="s">
        <v>113</v>
      </c>
      <c r="C37" s="2" t="s">
        <v>114</v>
      </c>
      <c r="D37" s="2" t="s">
        <v>303</v>
      </c>
      <c r="E37" s="2" t="s">
        <v>600</v>
      </c>
      <c r="F37" s="2" t="s">
        <v>155</v>
      </c>
      <c r="G37" s="2" t="s">
        <v>436</v>
      </c>
      <c r="H37" s="2" t="s">
        <v>577</v>
      </c>
      <c r="I37" s="2" t="s">
        <v>113</v>
      </c>
      <c r="J37" s="2" t="s">
        <v>139</v>
      </c>
      <c r="K37" s="2" t="s">
        <v>601</v>
      </c>
      <c r="L37" s="2" t="s">
        <v>602</v>
      </c>
      <c r="M37" s="3" t="s">
        <v>416</v>
      </c>
      <c r="N37" s="2"/>
      <c r="O37" s="2" t="s">
        <v>603</v>
      </c>
    </row>
    <row r="38" spans="1:15" ht="27.6">
      <c r="A38" s="2" t="s">
        <v>604</v>
      </c>
      <c r="B38" s="2" t="s">
        <v>113</v>
      </c>
      <c r="C38" s="2" t="s">
        <v>114</v>
      </c>
      <c r="D38" s="2" t="s">
        <v>605</v>
      </c>
      <c r="E38" s="2" t="s">
        <v>606</v>
      </c>
      <c r="F38" s="2" t="s">
        <v>155</v>
      </c>
      <c r="G38" s="2" t="s">
        <v>359</v>
      </c>
      <c r="H38" s="2" t="s">
        <v>607</v>
      </c>
      <c r="I38" s="2" t="s">
        <v>113</v>
      </c>
      <c r="J38" s="2" t="s">
        <v>608</v>
      </c>
      <c r="K38" s="2" t="s">
        <v>609</v>
      </c>
      <c r="L38" s="2" t="s">
        <v>610</v>
      </c>
      <c r="M38" s="3" t="s">
        <v>416</v>
      </c>
      <c r="N38" s="2"/>
      <c r="O38" s="2" t="s">
        <v>611</v>
      </c>
    </row>
    <row r="39" spans="1:15" ht="27.6">
      <c r="A39" s="2" t="s">
        <v>612</v>
      </c>
      <c r="B39" s="2" t="s">
        <v>113</v>
      </c>
      <c r="C39" s="2" t="s">
        <v>114</v>
      </c>
      <c r="D39" s="2" t="s">
        <v>613</v>
      </c>
      <c r="E39" s="2" t="s">
        <v>614</v>
      </c>
      <c r="F39" s="2" t="s">
        <v>155</v>
      </c>
      <c r="G39" s="2" t="s">
        <v>436</v>
      </c>
      <c r="H39" s="2" t="s">
        <v>577</v>
      </c>
      <c r="I39" s="2" t="s">
        <v>113</v>
      </c>
      <c r="J39" s="2" t="s">
        <v>139</v>
      </c>
      <c r="K39" s="2" t="s">
        <v>454</v>
      </c>
      <c r="L39" s="2" t="s">
        <v>615</v>
      </c>
      <c r="M39" s="3" t="s">
        <v>416</v>
      </c>
      <c r="N39" s="2"/>
      <c r="O39" s="2" t="s">
        <v>616</v>
      </c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</row>
    <row r="204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</row>
    <row r="205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</row>
    <row r="206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</row>
    <row r="209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</row>
    <row r="210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</row>
    <row r="21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</row>
    <row r="212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</row>
    <row r="214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</row>
    <row r="220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</row>
    <row r="22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</row>
    <row r="222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</row>
    <row r="223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</row>
    <row r="224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</row>
    <row r="225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</row>
    <row r="23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</row>
    <row r="232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</row>
    <row r="233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</row>
    <row r="234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</row>
    <row r="235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</row>
    <row r="24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</row>
    <row r="244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</row>
    <row r="249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</row>
    <row r="250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</row>
    <row r="25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</row>
    <row r="252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</row>
    <row r="257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</row>
    <row r="258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</row>
    <row r="259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</row>
    <row r="260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</row>
    <row r="26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</row>
    <row r="262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</row>
    <row r="263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</row>
    <row r="264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</row>
    <row r="265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</row>
    <row r="268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</row>
    <row r="269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</row>
    <row r="270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</row>
    <row r="27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</row>
    <row r="272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</row>
    <row r="273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</row>
    <row r="277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</row>
    <row r="278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</row>
    <row r="29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</row>
    <row r="292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</row>
    <row r="293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</row>
    <row r="294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</row>
    <row r="295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</row>
    <row r="296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</row>
    <row r="297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</row>
    <row r="298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</row>
    <row r="299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</row>
    <row r="300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</row>
    <row r="30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</row>
    <row r="302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</row>
    <row r="303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</row>
    <row r="304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</row>
    <row r="305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</row>
    <row r="306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</row>
    <row r="307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</row>
    <row r="308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</row>
    <row r="309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</row>
    <row r="310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</row>
    <row r="31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</row>
    <row r="312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</row>
    <row r="313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</row>
    <row r="314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</row>
    <row r="315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</row>
    <row r="316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</row>
    <row r="317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</row>
    <row r="318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</row>
    <row r="319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</row>
    <row r="320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</row>
    <row r="32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</row>
    <row r="322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</row>
    <row r="323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</row>
    <row r="324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</row>
    <row r="325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</row>
    <row r="326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</row>
    <row r="327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</row>
    <row r="328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</row>
    <row r="329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</row>
    <row r="330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</row>
    <row r="33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</row>
    <row r="332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</row>
    <row r="333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</row>
    <row r="334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</row>
    <row r="335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</row>
    <row r="336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</row>
    <row r="337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</row>
    <row r="338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</row>
    <row r="339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</row>
    <row r="34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</row>
    <row r="342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</row>
    <row r="343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</row>
    <row r="344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</row>
    <row r="345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</row>
    <row r="346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</row>
    <row r="347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</row>
    <row r="348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</row>
    <row r="349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</row>
    <row r="350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</row>
    <row r="35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</row>
    <row r="352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</row>
    <row r="353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</row>
    <row r="354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</row>
    <row r="355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</row>
    <row r="356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</row>
    <row r="357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</row>
    <row r="358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</row>
    <row r="359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</row>
    <row r="360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</row>
    <row r="36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</row>
    <row r="362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</row>
    <row r="363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</row>
    <row r="364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</row>
    <row r="365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</row>
    <row r="366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</row>
    <row r="367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</row>
    <row r="368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</row>
    <row r="369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</row>
    <row r="370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</row>
    <row r="37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</row>
    <row r="372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</row>
    <row r="373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</row>
    <row r="374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</row>
    <row r="375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</row>
    <row r="376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</row>
    <row r="377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</row>
    <row r="378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</row>
    <row r="379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</row>
    <row r="380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</row>
    <row r="38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</row>
    <row r="382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</row>
    <row r="383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</row>
    <row r="384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</row>
    <row r="385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</row>
    <row r="386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</row>
    <row r="387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</row>
    <row r="388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</row>
    <row r="393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</row>
    <row r="396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</row>
    <row r="397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</row>
    <row r="398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</row>
    <row r="399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</row>
    <row r="400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</row>
    <row r="40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</row>
    <row r="402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</row>
    <row r="403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</row>
    <row r="404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</row>
    <row r="405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</row>
    <row r="406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</row>
    <row r="407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</row>
    <row r="408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</row>
    <row r="409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</row>
    <row r="410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</row>
    <row r="41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</row>
    <row r="412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</row>
    <row r="413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</row>
    <row r="414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</row>
    <row r="415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</row>
    <row r="416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</row>
    <row r="417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</row>
    <row r="422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</row>
    <row r="423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</row>
    <row r="424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</row>
    <row r="425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</row>
    <row r="426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</row>
    <row r="427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</row>
    <row r="428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</row>
    <row r="429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</row>
    <row r="430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</row>
    <row r="43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</row>
    <row r="432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</row>
    <row r="433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</row>
    <row r="434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</row>
    <row r="435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</row>
    <row r="436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</row>
    <row r="437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</row>
    <row r="438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</row>
    <row r="439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</row>
    <row r="44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</row>
    <row r="442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</row>
    <row r="443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</row>
    <row r="444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</row>
    <row r="445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</row>
    <row r="446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</row>
    <row r="447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</row>
    <row r="448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</row>
    <row r="449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</row>
    <row r="450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</row>
    <row r="45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</row>
    <row r="452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</row>
    <row r="453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</row>
    <row r="454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</row>
    <row r="455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</row>
    <row r="456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</row>
    <row r="457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</row>
    <row r="458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</row>
    <row r="459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</row>
    <row r="460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</row>
    <row r="46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</row>
    <row r="462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</row>
    <row r="463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</row>
    <row r="464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</row>
    <row r="465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</row>
    <row r="466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</row>
    <row r="467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</row>
    <row r="468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</row>
    <row r="469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</row>
    <row r="470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</row>
    <row r="47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</row>
    <row r="472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</row>
    <row r="473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</row>
    <row r="474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</row>
    <row r="475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</row>
    <row r="476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</row>
    <row r="477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</row>
    <row r="478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</row>
    <row r="479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</row>
    <row r="480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</row>
    <row r="48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</row>
    <row r="482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</row>
    <row r="483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</row>
    <row r="484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</row>
    <row r="485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</row>
    <row r="486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</row>
    <row r="487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</row>
    <row r="488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</row>
    <row r="489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</row>
    <row r="490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</row>
    <row r="49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</row>
    <row r="492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</row>
    <row r="493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</row>
    <row r="494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</row>
    <row r="495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</row>
    <row r="496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</row>
    <row r="497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</row>
    <row r="498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</row>
    <row r="499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</row>
    <row r="500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</row>
  </sheetData>
  <mergeCells count="2">
    <mergeCell ref="A1:O1"/>
    <mergeCell ref="A2:O2"/>
  </mergeCells>
  <phoneticPr fontId="5" type="noConversion"/>
  <conditionalFormatting sqref="O4:O500">
    <cfRule type="expression" dxfId="4" priority="1">
      <formula>O4="已核验-官方原始"</formula>
    </cfRule>
    <cfRule type="expression" dxfId="3" priority="2">
      <formula>O4="示例/待核验"</formula>
    </cfRule>
  </conditionalFormatting>
  <dataValidations count="2">
    <dataValidation type="list" sqref="G4:G500" xr:uid="{00000000-0002-0000-0200-000000000000}">
      <formula1>"厂商官网,产品页/规格页,用户手册,规格书,FCC,FAA,SDK文档,固件发布说明,论文/白皮书,其他官方资料"</formula1>
    </dataValidation>
    <dataValidation type="list" sqref="O4:O500" xr:uid="{00000000-0002-0000-0200-000001000000}">
      <formula1>"已核验-官方原始,已核验-官方衍生,部分核验,示例/待核验,存在冲突待处理"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0"/>
  <sheetViews>
    <sheetView workbookViewId="0">
      <selection sqref="A1:P1"/>
    </sheetView>
  </sheetViews>
  <sheetFormatPr defaultRowHeight="13.8"/>
  <cols>
    <col min="1" max="1" width="16" customWidth="1"/>
    <col min="2" max="2" width="22" customWidth="1"/>
    <col min="3" max="10" width="12" customWidth="1"/>
    <col min="11" max="12" width="14" customWidth="1"/>
    <col min="13" max="13" width="12" customWidth="1"/>
    <col min="14" max="14" width="32" customWidth="1"/>
    <col min="15" max="16" width="14" customWidth="1"/>
  </cols>
  <sheetData>
    <row r="1" spans="1:16" ht="20.85" customHeight="1">
      <c r="A1" s="8" t="s">
        <v>617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7.15" customHeight="1">
      <c r="A2" s="9" t="s">
        <v>618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7.15" customHeight="1">
      <c r="A3" s="1" t="s">
        <v>2</v>
      </c>
      <c r="B3" s="1" t="s">
        <v>3</v>
      </c>
      <c r="C3" s="1" t="s">
        <v>619</v>
      </c>
      <c r="D3" s="1" t="s">
        <v>176</v>
      </c>
      <c r="E3" s="1" t="s">
        <v>524</v>
      </c>
      <c r="F3" s="1" t="s">
        <v>189</v>
      </c>
      <c r="G3" s="1" t="s">
        <v>620</v>
      </c>
      <c r="H3" s="1" t="s">
        <v>621</v>
      </c>
      <c r="I3" s="1" t="s">
        <v>622</v>
      </c>
      <c r="J3" s="1" t="s">
        <v>623</v>
      </c>
      <c r="K3" s="1" t="s">
        <v>624</v>
      </c>
      <c r="L3" s="1" t="s">
        <v>625</v>
      </c>
      <c r="M3" s="1" t="s">
        <v>626</v>
      </c>
      <c r="N3" s="1" t="s">
        <v>627</v>
      </c>
      <c r="O3" s="1" t="s">
        <v>628</v>
      </c>
      <c r="P3" s="1" t="s">
        <v>629</v>
      </c>
    </row>
    <row r="4" spans="1:16">
      <c r="A4" t="s">
        <v>34</v>
      </c>
      <c r="B4" t="s">
        <v>35</v>
      </c>
      <c r="C4" t="s">
        <v>630</v>
      </c>
      <c r="D4" t="s">
        <v>630</v>
      </c>
      <c r="E4" t="s">
        <v>631</v>
      </c>
      <c r="F4" t="s">
        <v>630</v>
      </c>
      <c r="G4" t="s">
        <v>631</v>
      </c>
      <c r="H4" t="s">
        <v>631</v>
      </c>
      <c r="I4" t="s">
        <v>630</v>
      </c>
      <c r="J4" t="s">
        <v>630</v>
      </c>
      <c r="K4" t="s">
        <v>630</v>
      </c>
      <c r="L4" t="s">
        <v>630</v>
      </c>
      <c r="M4" s="4">
        <f>COUNTIF(C4:L4,"已完成")/10+COUNTIF(C4:L4,"不适用")/10</f>
        <v>0.7</v>
      </c>
      <c r="N4" t="s">
        <v>632</v>
      </c>
      <c r="P4" s="5" t="s">
        <v>416</v>
      </c>
    </row>
    <row r="5" spans="1:16">
      <c r="A5" t="s">
        <v>34</v>
      </c>
      <c r="B5" t="s">
        <v>63</v>
      </c>
      <c r="C5" t="s">
        <v>630</v>
      </c>
      <c r="D5" t="s">
        <v>630</v>
      </c>
      <c r="E5" t="s">
        <v>631</v>
      </c>
      <c r="F5" t="s">
        <v>630</v>
      </c>
      <c r="G5" t="s">
        <v>631</v>
      </c>
      <c r="H5" t="s">
        <v>631</v>
      </c>
      <c r="I5" t="s">
        <v>630</v>
      </c>
      <c r="J5" t="s">
        <v>630</v>
      </c>
      <c r="K5" t="s">
        <v>630</v>
      </c>
      <c r="L5" t="s">
        <v>630</v>
      </c>
      <c r="M5" s="4">
        <f>COUNTIF(C5:L5,"已完成")/10+COUNTIF(C5:L5,"不适用")/10</f>
        <v>0.7</v>
      </c>
      <c r="N5" t="s">
        <v>633</v>
      </c>
      <c r="P5" s="5" t="s">
        <v>416</v>
      </c>
    </row>
    <row r="6" spans="1:16">
      <c r="A6" t="s">
        <v>86</v>
      </c>
      <c r="B6" t="s">
        <v>87</v>
      </c>
      <c r="C6" t="s">
        <v>630</v>
      </c>
      <c r="D6" t="s">
        <v>630</v>
      </c>
      <c r="E6" t="s">
        <v>630</v>
      </c>
      <c r="F6" t="s">
        <v>630</v>
      </c>
      <c r="G6" t="s">
        <v>631</v>
      </c>
      <c r="H6" t="s">
        <v>631</v>
      </c>
      <c r="I6" t="s">
        <v>630</v>
      </c>
      <c r="J6" t="s">
        <v>630</v>
      </c>
      <c r="K6" t="s">
        <v>630</v>
      </c>
      <c r="L6" t="s">
        <v>630</v>
      </c>
      <c r="M6" s="4">
        <f>COUNTIF(C6:L6,"已完成")/10+COUNTIF(C6:L6,"不适用")/10</f>
        <v>0.8</v>
      </c>
      <c r="N6" t="s">
        <v>634</v>
      </c>
      <c r="P6" s="5" t="s">
        <v>416</v>
      </c>
    </row>
    <row r="7" spans="1:16">
      <c r="A7" t="s">
        <v>113</v>
      </c>
      <c r="B7" t="s">
        <v>114</v>
      </c>
      <c r="C7" t="s">
        <v>630</v>
      </c>
      <c r="D7" t="s">
        <v>630</v>
      </c>
      <c r="E7" t="s">
        <v>631</v>
      </c>
      <c r="F7" t="s">
        <v>630</v>
      </c>
      <c r="G7" t="s">
        <v>631</v>
      </c>
      <c r="H7" t="s">
        <v>635</v>
      </c>
      <c r="I7" t="s">
        <v>630</v>
      </c>
      <c r="J7" t="s">
        <v>635</v>
      </c>
      <c r="K7" t="s">
        <v>630</v>
      </c>
      <c r="L7" t="s">
        <v>630</v>
      </c>
      <c r="M7" s="4">
        <f>COUNTIF(C7:L7,"已完成")/10+COUNTIF(C7:L7,"不适用")/10</f>
        <v>0.6</v>
      </c>
      <c r="N7" t="s">
        <v>636</v>
      </c>
      <c r="P7" s="5" t="s">
        <v>416</v>
      </c>
    </row>
    <row r="8" spans="1:16">
      <c r="M8" s="4"/>
      <c r="P8" s="5"/>
    </row>
    <row r="9" spans="1:16">
      <c r="M9" s="4"/>
      <c r="P9" s="5"/>
    </row>
    <row r="10" spans="1:16">
      <c r="M10" s="4"/>
      <c r="P10" s="5"/>
    </row>
    <row r="11" spans="1:16">
      <c r="M11" s="4"/>
      <c r="P11" s="5"/>
    </row>
    <row r="12" spans="1:16">
      <c r="M12" s="4"/>
      <c r="P12" s="5"/>
    </row>
    <row r="13" spans="1:16">
      <c r="M13" s="4"/>
      <c r="P13" s="5"/>
    </row>
    <row r="14" spans="1:16">
      <c r="M14" s="4"/>
      <c r="P14" s="5"/>
    </row>
    <row r="15" spans="1:16">
      <c r="M15" s="4"/>
      <c r="P15" s="5"/>
    </row>
    <row r="16" spans="1:16">
      <c r="M16" s="4"/>
      <c r="P16" s="5"/>
    </row>
    <row r="17" spans="13:16">
      <c r="M17" s="4"/>
      <c r="P17" s="5"/>
    </row>
    <row r="18" spans="13:16">
      <c r="M18" s="4"/>
      <c r="P18" s="5"/>
    </row>
    <row r="19" spans="13:16">
      <c r="M19" s="4"/>
      <c r="P19" s="5"/>
    </row>
    <row r="20" spans="13:16">
      <c r="M20" s="4"/>
      <c r="P20" s="5"/>
    </row>
    <row r="21" spans="13:16">
      <c r="M21" s="4"/>
      <c r="P21" s="5"/>
    </row>
    <row r="22" spans="13:16">
      <c r="M22" s="4"/>
      <c r="P22" s="5"/>
    </row>
    <row r="23" spans="13:16">
      <c r="M23" s="4"/>
      <c r="P23" s="5"/>
    </row>
    <row r="24" spans="13:16">
      <c r="M24" s="4"/>
      <c r="P24" s="5"/>
    </row>
    <row r="25" spans="13:16">
      <c r="M25" s="4"/>
      <c r="P25" s="5"/>
    </row>
    <row r="26" spans="13:16">
      <c r="M26" s="4"/>
      <c r="P26" s="5"/>
    </row>
    <row r="27" spans="13:16">
      <c r="M27" s="4"/>
      <c r="P27" s="5"/>
    </row>
    <row r="28" spans="13:16">
      <c r="M28" s="4"/>
      <c r="P28" s="5"/>
    </row>
    <row r="29" spans="13:16">
      <c r="M29" s="4"/>
      <c r="P29" s="5"/>
    </row>
    <row r="30" spans="13:16">
      <c r="M30" s="4"/>
      <c r="P30" s="5"/>
    </row>
    <row r="31" spans="13:16">
      <c r="M31" s="4"/>
      <c r="P31" s="5"/>
    </row>
    <row r="32" spans="13:16">
      <c r="M32" s="4"/>
      <c r="P32" s="5"/>
    </row>
    <row r="33" spans="13:16">
      <c r="M33" s="4"/>
      <c r="P33" s="5"/>
    </row>
    <row r="34" spans="13:16">
      <c r="M34" s="4"/>
      <c r="P34" s="5"/>
    </row>
    <row r="35" spans="13:16">
      <c r="M35" s="4"/>
      <c r="P35" s="5"/>
    </row>
    <row r="36" spans="13:16">
      <c r="M36" s="4"/>
      <c r="P36" s="5"/>
    </row>
    <row r="37" spans="13:16">
      <c r="M37" s="4"/>
      <c r="P37" s="5"/>
    </row>
    <row r="38" spans="13:16">
      <c r="M38" s="4"/>
      <c r="P38" s="5"/>
    </row>
    <row r="39" spans="13:16">
      <c r="M39" s="4"/>
      <c r="P39" s="5"/>
    </row>
    <row r="40" spans="13:16">
      <c r="M40" s="4"/>
      <c r="P40" s="5"/>
    </row>
    <row r="41" spans="13:16">
      <c r="M41" s="4"/>
      <c r="P41" s="5"/>
    </row>
    <row r="42" spans="13:16">
      <c r="M42" s="4"/>
      <c r="P42" s="5"/>
    </row>
    <row r="43" spans="13:16">
      <c r="M43" s="4"/>
      <c r="P43" s="5"/>
    </row>
    <row r="44" spans="13:16">
      <c r="M44" s="4"/>
      <c r="P44" s="5"/>
    </row>
    <row r="45" spans="13:16">
      <c r="M45" s="4"/>
      <c r="P45" s="5"/>
    </row>
    <row r="46" spans="13:16">
      <c r="M46" s="4"/>
      <c r="P46" s="5"/>
    </row>
    <row r="47" spans="13:16">
      <c r="M47" s="4"/>
      <c r="P47" s="5"/>
    </row>
    <row r="48" spans="13:16">
      <c r="M48" s="4"/>
      <c r="P48" s="5"/>
    </row>
    <row r="49" spans="13:16">
      <c r="M49" s="4"/>
      <c r="P49" s="5"/>
    </row>
    <row r="50" spans="13:16">
      <c r="M50" s="4"/>
      <c r="P50" s="5"/>
    </row>
    <row r="51" spans="13:16">
      <c r="M51" s="4"/>
      <c r="P51" s="5"/>
    </row>
    <row r="52" spans="13:16">
      <c r="M52" s="4"/>
      <c r="P52" s="5"/>
    </row>
    <row r="53" spans="13:16">
      <c r="M53" s="4"/>
      <c r="P53" s="5"/>
    </row>
    <row r="54" spans="13:16">
      <c r="M54" s="4"/>
      <c r="P54" s="5"/>
    </row>
    <row r="55" spans="13:16">
      <c r="M55" s="4"/>
      <c r="P55" s="5"/>
    </row>
    <row r="56" spans="13:16">
      <c r="M56" s="4"/>
      <c r="P56" s="5"/>
    </row>
    <row r="57" spans="13:16">
      <c r="M57" s="4"/>
      <c r="P57" s="5"/>
    </row>
    <row r="58" spans="13:16">
      <c r="M58" s="4"/>
      <c r="P58" s="5"/>
    </row>
    <row r="59" spans="13:16">
      <c r="M59" s="4"/>
      <c r="P59" s="5"/>
    </row>
    <row r="60" spans="13:16">
      <c r="M60" s="4"/>
      <c r="P60" s="5"/>
    </row>
    <row r="61" spans="13:16">
      <c r="M61" s="4"/>
      <c r="P61" s="5"/>
    </row>
    <row r="62" spans="13:16">
      <c r="M62" s="4"/>
      <c r="P62" s="5"/>
    </row>
    <row r="63" spans="13:16">
      <c r="M63" s="4"/>
      <c r="P63" s="5"/>
    </row>
    <row r="64" spans="13:16">
      <c r="M64" s="4"/>
      <c r="P64" s="5"/>
    </row>
    <row r="65" spans="13:16">
      <c r="M65" s="4"/>
      <c r="P65" s="5"/>
    </row>
    <row r="66" spans="13:16">
      <c r="M66" s="4"/>
      <c r="P66" s="5"/>
    </row>
    <row r="67" spans="13:16">
      <c r="M67" s="4"/>
      <c r="P67" s="5"/>
    </row>
    <row r="68" spans="13:16">
      <c r="M68" s="4"/>
      <c r="P68" s="5"/>
    </row>
    <row r="69" spans="13:16">
      <c r="M69" s="4"/>
      <c r="P69" s="5"/>
    </row>
    <row r="70" spans="13:16">
      <c r="M70" s="4"/>
      <c r="P70" s="5"/>
    </row>
    <row r="71" spans="13:16">
      <c r="M71" s="4"/>
      <c r="P71" s="5"/>
    </row>
    <row r="72" spans="13:16">
      <c r="M72" s="4"/>
      <c r="P72" s="5"/>
    </row>
    <row r="73" spans="13:16">
      <c r="M73" s="4"/>
      <c r="P73" s="5"/>
    </row>
    <row r="74" spans="13:16">
      <c r="M74" s="4"/>
      <c r="P74" s="5"/>
    </row>
    <row r="75" spans="13:16">
      <c r="M75" s="4"/>
      <c r="P75" s="5"/>
    </row>
    <row r="76" spans="13:16">
      <c r="M76" s="4"/>
      <c r="P76" s="5"/>
    </row>
    <row r="77" spans="13:16">
      <c r="M77" s="4"/>
      <c r="P77" s="5"/>
    </row>
    <row r="78" spans="13:16">
      <c r="M78" s="4"/>
      <c r="P78" s="5"/>
    </row>
    <row r="79" spans="13:16">
      <c r="M79" s="4"/>
      <c r="P79" s="5"/>
    </row>
    <row r="80" spans="13:16">
      <c r="M80" s="4"/>
      <c r="P80" s="5"/>
    </row>
    <row r="81" spans="13:16">
      <c r="M81" s="4"/>
      <c r="P81" s="5"/>
    </row>
    <row r="82" spans="13:16">
      <c r="M82" s="4"/>
      <c r="P82" s="5"/>
    </row>
    <row r="83" spans="13:16">
      <c r="M83" s="4"/>
      <c r="P83" s="5"/>
    </row>
    <row r="84" spans="13:16">
      <c r="M84" s="4"/>
      <c r="P84" s="5"/>
    </row>
    <row r="85" spans="13:16">
      <c r="M85" s="4"/>
      <c r="P85" s="5"/>
    </row>
    <row r="86" spans="13:16">
      <c r="M86" s="4"/>
      <c r="P86" s="5"/>
    </row>
    <row r="87" spans="13:16">
      <c r="M87" s="4"/>
      <c r="P87" s="5"/>
    </row>
    <row r="88" spans="13:16">
      <c r="M88" s="4"/>
      <c r="P88" s="5"/>
    </row>
    <row r="89" spans="13:16">
      <c r="M89" s="4"/>
      <c r="P89" s="5"/>
    </row>
    <row r="90" spans="13:16">
      <c r="M90" s="4"/>
      <c r="P90" s="5"/>
    </row>
    <row r="91" spans="13:16">
      <c r="M91" s="4"/>
      <c r="P91" s="5"/>
    </row>
    <row r="92" spans="13:16">
      <c r="M92" s="4"/>
      <c r="P92" s="5"/>
    </row>
    <row r="93" spans="13:16">
      <c r="M93" s="4"/>
      <c r="P93" s="5"/>
    </row>
    <row r="94" spans="13:16">
      <c r="M94" s="4"/>
      <c r="P94" s="5"/>
    </row>
    <row r="95" spans="13:16">
      <c r="M95" s="4"/>
      <c r="P95" s="5"/>
    </row>
    <row r="96" spans="13:16">
      <c r="M96" s="4"/>
      <c r="P96" s="5"/>
    </row>
    <row r="97" spans="13:16">
      <c r="M97" s="4"/>
      <c r="P97" s="5"/>
    </row>
    <row r="98" spans="13:16">
      <c r="M98" s="4"/>
      <c r="P98" s="5"/>
    </row>
    <row r="99" spans="13:16">
      <c r="M99" s="4"/>
      <c r="P99" s="5"/>
    </row>
    <row r="100" spans="13:16">
      <c r="M100" s="4"/>
      <c r="P100" s="5"/>
    </row>
    <row r="101" spans="13:16">
      <c r="M101" s="4"/>
      <c r="P101" s="5"/>
    </row>
    <row r="102" spans="13:16">
      <c r="M102" s="4"/>
      <c r="P102" s="5"/>
    </row>
    <row r="103" spans="13:16">
      <c r="M103" s="4"/>
      <c r="P103" s="5"/>
    </row>
    <row r="104" spans="13:16">
      <c r="M104" s="4"/>
      <c r="P104" s="5"/>
    </row>
    <row r="105" spans="13:16">
      <c r="M105" s="4"/>
      <c r="P105" s="5"/>
    </row>
    <row r="106" spans="13:16">
      <c r="M106" s="4"/>
      <c r="P106" s="5"/>
    </row>
    <row r="107" spans="13:16">
      <c r="M107" s="4"/>
      <c r="P107" s="5"/>
    </row>
    <row r="108" spans="13:16">
      <c r="M108" s="4"/>
      <c r="P108" s="5"/>
    </row>
    <row r="109" spans="13:16">
      <c r="M109" s="4"/>
      <c r="P109" s="5"/>
    </row>
    <row r="110" spans="13:16">
      <c r="M110" s="4"/>
      <c r="P110" s="5"/>
    </row>
    <row r="111" spans="13:16">
      <c r="M111" s="4"/>
      <c r="P111" s="5"/>
    </row>
    <row r="112" spans="13:16">
      <c r="M112" s="4"/>
      <c r="P112" s="5"/>
    </row>
    <row r="113" spans="13:16">
      <c r="M113" s="4"/>
      <c r="P113" s="5"/>
    </row>
    <row r="114" spans="13:16">
      <c r="M114" s="4"/>
      <c r="P114" s="5"/>
    </row>
    <row r="115" spans="13:16">
      <c r="M115" s="4"/>
      <c r="P115" s="5"/>
    </row>
    <row r="116" spans="13:16">
      <c r="M116" s="4"/>
      <c r="P116" s="5"/>
    </row>
    <row r="117" spans="13:16">
      <c r="M117" s="4"/>
      <c r="P117" s="5"/>
    </row>
    <row r="118" spans="13:16">
      <c r="M118" s="4"/>
      <c r="P118" s="5"/>
    </row>
    <row r="119" spans="13:16">
      <c r="M119" s="4"/>
      <c r="P119" s="5"/>
    </row>
    <row r="120" spans="13:16">
      <c r="M120" s="4"/>
      <c r="P120" s="5"/>
    </row>
    <row r="121" spans="13:16">
      <c r="M121" s="4"/>
      <c r="P121" s="5"/>
    </row>
    <row r="122" spans="13:16">
      <c r="M122" s="4"/>
      <c r="P122" s="5"/>
    </row>
    <row r="123" spans="13:16">
      <c r="M123" s="4"/>
      <c r="P123" s="5"/>
    </row>
    <row r="124" spans="13:16">
      <c r="M124" s="4"/>
      <c r="P124" s="5"/>
    </row>
    <row r="125" spans="13:16">
      <c r="M125" s="4"/>
      <c r="P125" s="5"/>
    </row>
    <row r="126" spans="13:16">
      <c r="M126" s="4"/>
      <c r="P126" s="5"/>
    </row>
    <row r="127" spans="13:16">
      <c r="M127" s="4"/>
      <c r="P127" s="5"/>
    </row>
    <row r="128" spans="13:16">
      <c r="M128" s="4"/>
      <c r="P128" s="5"/>
    </row>
    <row r="129" spans="13:16">
      <c r="M129" s="4"/>
      <c r="P129" s="5"/>
    </row>
    <row r="130" spans="13:16">
      <c r="M130" s="4"/>
      <c r="P130" s="5"/>
    </row>
    <row r="131" spans="13:16">
      <c r="M131" s="4"/>
      <c r="P131" s="5"/>
    </row>
    <row r="132" spans="13:16">
      <c r="M132" s="4"/>
      <c r="P132" s="5"/>
    </row>
    <row r="133" spans="13:16">
      <c r="M133" s="4"/>
      <c r="P133" s="5"/>
    </row>
    <row r="134" spans="13:16">
      <c r="M134" s="4"/>
      <c r="P134" s="5"/>
    </row>
    <row r="135" spans="13:16">
      <c r="M135" s="4"/>
      <c r="P135" s="5"/>
    </row>
    <row r="136" spans="13:16">
      <c r="M136" s="4"/>
      <c r="P136" s="5"/>
    </row>
    <row r="137" spans="13:16">
      <c r="M137" s="4"/>
      <c r="P137" s="5"/>
    </row>
    <row r="138" spans="13:16">
      <c r="M138" s="4"/>
      <c r="P138" s="5"/>
    </row>
    <row r="139" spans="13:16">
      <c r="M139" s="4"/>
      <c r="P139" s="5"/>
    </row>
    <row r="140" spans="13:16">
      <c r="M140" s="4"/>
      <c r="P140" s="5"/>
    </row>
    <row r="141" spans="13:16">
      <c r="M141" s="4"/>
      <c r="P141" s="5"/>
    </row>
    <row r="142" spans="13:16">
      <c r="M142" s="4"/>
      <c r="P142" s="5"/>
    </row>
    <row r="143" spans="13:16">
      <c r="M143" s="4"/>
      <c r="P143" s="5"/>
    </row>
    <row r="144" spans="13:16">
      <c r="M144" s="4"/>
      <c r="P144" s="5"/>
    </row>
    <row r="145" spans="13:16">
      <c r="M145" s="4"/>
      <c r="P145" s="5"/>
    </row>
    <row r="146" spans="13:16">
      <c r="M146" s="4"/>
      <c r="P146" s="5"/>
    </row>
    <row r="147" spans="13:16">
      <c r="M147" s="4"/>
      <c r="P147" s="5"/>
    </row>
    <row r="148" spans="13:16">
      <c r="M148" s="4"/>
      <c r="P148" s="5"/>
    </row>
    <row r="149" spans="13:16">
      <c r="M149" s="4"/>
      <c r="P149" s="5"/>
    </row>
    <row r="150" spans="13:16">
      <c r="M150" s="4"/>
      <c r="P150" s="5"/>
    </row>
    <row r="151" spans="13:16">
      <c r="M151" s="4"/>
      <c r="P151" s="5"/>
    </row>
    <row r="152" spans="13:16">
      <c r="M152" s="4"/>
      <c r="P152" s="5"/>
    </row>
    <row r="153" spans="13:16">
      <c r="M153" s="4"/>
      <c r="P153" s="5"/>
    </row>
    <row r="154" spans="13:16">
      <c r="M154" s="4"/>
      <c r="P154" s="5"/>
    </row>
    <row r="155" spans="13:16">
      <c r="M155" s="4"/>
      <c r="P155" s="5"/>
    </row>
    <row r="156" spans="13:16">
      <c r="M156" s="4"/>
      <c r="P156" s="5"/>
    </row>
    <row r="157" spans="13:16">
      <c r="M157" s="4"/>
      <c r="P157" s="5"/>
    </row>
    <row r="158" spans="13:16">
      <c r="M158" s="4"/>
      <c r="P158" s="5"/>
    </row>
    <row r="159" spans="13:16">
      <c r="M159" s="4"/>
      <c r="P159" s="5"/>
    </row>
    <row r="160" spans="13:16">
      <c r="M160" s="4"/>
      <c r="P160" s="5"/>
    </row>
    <row r="161" spans="13:16">
      <c r="M161" s="4"/>
      <c r="P161" s="5"/>
    </row>
    <row r="162" spans="13:16">
      <c r="M162" s="4"/>
      <c r="P162" s="5"/>
    </row>
    <row r="163" spans="13:16">
      <c r="M163" s="4"/>
      <c r="P163" s="5"/>
    </row>
    <row r="164" spans="13:16">
      <c r="M164" s="4"/>
      <c r="P164" s="5"/>
    </row>
    <row r="165" spans="13:16">
      <c r="M165" s="4"/>
      <c r="P165" s="5"/>
    </row>
    <row r="166" spans="13:16">
      <c r="M166" s="4"/>
      <c r="P166" s="5"/>
    </row>
    <row r="167" spans="13:16">
      <c r="M167" s="4"/>
      <c r="P167" s="5"/>
    </row>
    <row r="168" spans="13:16">
      <c r="M168" s="4"/>
      <c r="P168" s="5"/>
    </row>
    <row r="169" spans="13:16">
      <c r="M169" s="4"/>
      <c r="P169" s="5"/>
    </row>
    <row r="170" spans="13:16">
      <c r="M170" s="4"/>
      <c r="P170" s="5"/>
    </row>
    <row r="171" spans="13:16">
      <c r="M171" s="4"/>
      <c r="P171" s="5"/>
    </row>
    <row r="172" spans="13:16">
      <c r="M172" s="4"/>
      <c r="P172" s="5"/>
    </row>
    <row r="173" spans="13:16">
      <c r="M173" s="4"/>
      <c r="P173" s="5"/>
    </row>
    <row r="174" spans="13:16">
      <c r="M174" s="4"/>
      <c r="P174" s="5"/>
    </row>
    <row r="175" spans="13:16">
      <c r="M175" s="4"/>
      <c r="P175" s="5"/>
    </row>
    <row r="176" spans="13:16">
      <c r="M176" s="4"/>
      <c r="P176" s="5"/>
    </row>
    <row r="177" spans="13:16">
      <c r="M177" s="4"/>
      <c r="P177" s="5"/>
    </row>
    <row r="178" spans="13:16">
      <c r="M178" s="4"/>
      <c r="P178" s="5"/>
    </row>
    <row r="179" spans="13:16">
      <c r="M179" s="4"/>
      <c r="P179" s="5"/>
    </row>
    <row r="180" spans="13:16">
      <c r="M180" s="4"/>
      <c r="P180" s="5"/>
    </row>
    <row r="181" spans="13:16">
      <c r="M181" s="4"/>
      <c r="P181" s="5"/>
    </row>
    <row r="182" spans="13:16">
      <c r="M182" s="4"/>
      <c r="P182" s="5"/>
    </row>
    <row r="183" spans="13:16">
      <c r="M183" s="4"/>
      <c r="P183" s="5"/>
    </row>
    <row r="184" spans="13:16">
      <c r="M184" s="4"/>
      <c r="P184" s="5"/>
    </row>
    <row r="185" spans="13:16">
      <c r="M185" s="4"/>
      <c r="P185" s="5"/>
    </row>
    <row r="186" spans="13:16">
      <c r="M186" s="4"/>
      <c r="P186" s="5"/>
    </row>
    <row r="187" spans="13:16">
      <c r="M187" s="4"/>
      <c r="P187" s="5"/>
    </row>
    <row r="188" spans="13:16">
      <c r="M188" s="4"/>
      <c r="P188" s="5"/>
    </row>
    <row r="189" spans="13:16">
      <c r="M189" s="4"/>
      <c r="P189" s="5"/>
    </row>
    <row r="190" spans="13:16">
      <c r="M190" s="4"/>
      <c r="P190" s="5"/>
    </row>
    <row r="191" spans="13:16">
      <c r="M191" s="4"/>
      <c r="P191" s="5"/>
    </row>
    <row r="192" spans="13:16">
      <c r="M192" s="4"/>
      <c r="P192" s="5"/>
    </row>
    <row r="193" spans="13:16">
      <c r="M193" s="4"/>
      <c r="P193" s="5"/>
    </row>
    <row r="194" spans="13:16">
      <c r="M194" s="4"/>
      <c r="P194" s="5"/>
    </row>
    <row r="195" spans="13:16">
      <c r="M195" s="4"/>
      <c r="P195" s="5"/>
    </row>
    <row r="196" spans="13:16">
      <c r="M196" s="4"/>
      <c r="P196" s="5"/>
    </row>
    <row r="197" spans="13:16">
      <c r="M197" s="4"/>
      <c r="P197" s="5"/>
    </row>
    <row r="198" spans="13:16">
      <c r="M198" s="4"/>
      <c r="P198" s="5"/>
    </row>
    <row r="199" spans="13:16">
      <c r="M199" s="4"/>
      <c r="P199" s="5"/>
    </row>
    <row r="200" spans="13:16">
      <c r="M200" s="4"/>
      <c r="P200" s="5"/>
    </row>
    <row r="201" spans="13:16">
      <c r="M201" s="4"/>
      <c r="P201" s="5"/>
    </row>
    <row r="202" spans="13:16">
      <c r="M202" s="4"/>
      <c r="P202" s="5"/>
    </row>
    <row r="203" spans="13:16">
      <c r="M203" s="4"/>
      <c r="P203" s="5"/>
    </row>
    <row r="204" spans="13:16">
      <c r="M204" s="4"/>
      <c r="P204" s="5"/>
    </row>
    <row r="205" spans="13:16">
      <c r="M205" s="4"/>
      <c r="P205" s="5"/>
    </row>
    <row r="206" spans="13:16">
      <c r="M206" s="4"/>
      <c r="P206" s="5"/>
    </row>
    <row r="207" spans="13:16">
      <c r="M207" s="4"/>
      <c r="P207" s="5"/>
    </row>
    <row r="208" spans="13:16">
      <c r="M208" s="4"/>
      <c r="P208" s="5"/>
    </row>
    <row r="209" spans="13:16">
      <c r="M209" s="4"/>
      <c r="P209" s="5"/>
    </row>
    <row r="210" spans="13:16">
      <c r="M210" s="4"/>
      <c r="P210" s="5"/>
    </row>
    <row r="211" spans="13:16">
      <c r="M211" s="4"/>
      <c r="P211" s="5"/>
    </row>
    <row r="212" spans="13:16">
      <c r="M212" s="4"/>
      <c r="P212" s="5"/>
    </row>
    <row r="213" spans="13:16">
      <c r="M213" s="4"/>
      <c r="P213" s="5"/>
    </row>
    <row r="214" spans="13:16">
      <c r="M214" s="4"/>
      <c r="P214" s="5"/>
    </row>
    <row r="215" spans="13:16">
      <c r="M215" s="4"/>
      <c r="P215" s="5"/>
    </row>
    <row r="216" spans="13:16">
      <c r="M216" s="4"/>
      <c r="P216" s="5"/>
    </row>
    <row r="217" spans="13:16">
      <c r="M217" s="4"/>
      <c r="P217" s="5"/>
    </row>
    <row r="218" spans="13:16">
      <c r="M218" s="4"/>
      <c r="P218" s="5"/>
    </row>
    <row r="219" spans="13:16">
      <c r="M219" s="4"/>
      <c r="P219" s="5"/>
    </row>
    <row r="220" spans="13:16">
      <c r="M220" s="4"/>
      <c r="P220" s="5"/>
    </row>
    <row r="221" spans="13:16">
      <c r="M221" s="4"/>
      <c r="P221" s="5"/>
    </row>
    <row r="222" spans="13:16">
      <c r="M222" s="4"/>
      <c r="P222" s="5"/>
    </row>
    <row r="223" spans="13:16">
      <c r="M223" s="4"/>
      <c r="P223" s="5"/>
    </row>
    <row r="224" spans="13:16">
      <c r="M224" s="4"/>
      <c r="P224" s="5"/>
    </row>
    <row r="225" spans="13:16">
      <c r="M225" s="4"/>
      <c r="P225" s="5"/>
    </row>
    <row r="226" spans="13:16">
      <c r="M226" s="4"/>
      <c r="P226" s="5"/>
    </row>
    <row r="227" spans="13:16">
      <c r="M227" s="4"/>
      <c r="P227" s="5"/>
    </row>
    <row r="228" spans="13:16">
      <c r="M228" s="4"/>
      <c r="P228" s="5"/>
    </row>
    <row r="229" spans="13:16">
      <c r="M229" s="4"/>
      <c r="P229" s="5"/>
    </row>
    <row r="230" spans="13:16">
      <c r="M230" s="4"/>
      <c r="P230" s="5"/>
    </row>
    <row r="231" spans="13:16">
      <c r="M231" s="4"/>
      <c r="P231" s="5"/>
    </row>
    <row r="232" spans="13:16">
      <c r="M232" s="4"/>
      <c r="P232" s="5"/>
    </row>
    <row r="233" spans="13:16">
      <c r="M233" s="4"/>
      <c r="P233" s="5"/>
    </row>
    <row r="234" spans="13:16">
      <c r="M234" s="4"/>
      <c r="P234" s="5"/>
    </row>
    <row r="235" spans="13:16">
      <c r="M235" s="4"/>
      <c r="P235" s="5"/>
    </row>
    <row r="236" spans="13:16">
      <c r="M236" s="4"/>
      <c r="P236" s="5"/>
    </row>
    <row r="237" spans="13:16">
      <c r="M237" s="4"/>
      <c r="P237" s="5"/>
    </row>
    <row r="238" spans="13:16">
      <c r="M238" s="4"/>
      <c r="P238" s="5"/>
    </row>
    <row r="239" spans="13:16">
      <c r="M239" s="4"/>
      <c r="P239" s="5"/>
    </row>
    <row r="240" spans="13:16">
      <c r="M240" s="4"/>
      <c r="P240" s="5"/>
    </row>
    <row r="241" spans="13:16">
      <c r="M241" s="4"/>
      <c r="P241" s="5"/>
    </row>
    <row r="242" spans="13:16">
      <c r="M242" s="4"/>
      <c r="P242" s="5"/>
    </row>
    <row r="243" spans="13:16">
      <c r="M243" s="4"/>
      <c r="P243" s="5"/>
    </row>
    <row r="244" spans="13:16">
      <c r="M244" s="4"/>
      <c r="P244" s="5"/>
    </row>
    <row r="245" spans="13:16">
      <c r="M245" s="4"/>
      <c r="P245" s="5"/>
    </row>
    <row r="246" spans="13:16">
      <c r="M246" s="4"/>
      <c r="P246" s="5"/>
    </row>
    <row r="247" spans="13:16">
      <c r="M247" s="4"/>
      <c r="P247" s="5"/>
    </row>
    <row r="248" spans="13:16">
      <c r="M248" s="4"/>
      <c r="P248" s="5"/>
    </row>
    <row r="249" spans="13:16">
      <c r="M249" s="4"/>
      <c r="P249" s="5"/>
    </row>
    <row r="250" spans="13:16">
      <c r="M250" s="4"/>
      <c r="P250" s="5"/>
    </row>
    <row r="251" spans="13:16">
      <c r="M251" s="4"/>
      <c r="P251" s="5"/>
    </row>
    <row r="252" spans="13:16">
      <c r="M252" s="4"/>
      <c r="P252" s="5"/>
    </row>
    <row r="253" spans="13:16">
      <c r="M253" s="4"/>
      <c r="P253" s="5"/>
    </row>
    <row r="254" spans="13:16">
      <c r="M254" s="4"/>
      <c r="P254" s="5"/>
    </row>
    <row r="255" spans="13:16">
      <c r="M255" s="4"/>
      <c r="P255" s="5"/>
    </row>
    <row r="256" spans="13:16">
      <c r="M256" s="4"/>
      <c r="P256" s="5"/>
    </row>
    <row r="257" spans="13:16">
      <c r="M257" s="4"/>
      <c r="P257" s="5"/>
    </row>
    <row r="258" spans="13:16">
      <c r="M258" s="4"/>
      <c r="P258" s="5"/>
    </row>
    <row r="259" spans="13:16">
      <c r="M259" s="4"/>
      <c r="P259" s="5"/>
    </row>
    <row r="260" spans="13:16">
      <c r="M260" s="4"/>
      <c r="P260" s="5"/>
    </row>
    <row r="261" spans="13:16">
      <c r="M261" s="4"/>
      <c r="P261" s="5"/>
    </row>
    <row r="262" spans="13:16">
      <c r="M262" s="4"/>
      <c r="P262" s="5"/>
    </row>
    <row r="263" spans="13:16">
      <c r="M263" s="4"/>
      <c r="P263" s="5"/>
    </row>
    <row r="264" spans="13:16">
      <c r="M264" s="4"/>
      <c r="P264" s="5"/>
    </row>
    <row r="265" spans="13:16">
      <c r="M265" s="4"/>
      <c r="P265" s="5"/>
    </row>
    <row r="266" spans="13:16">
      <c r="M266" s="4"/>
      <c r="P266" s="5"/>
    </row>
    <row r="267" spans="13:16">
      <c r="M267" s="4"/>
      <c r="P267" s="5"/>
    </row>
    <row r="268" spans="13:16">
      <c r="M268" s="4"/>
      <c r="P268" s="5"/>
    </row>
    <row r="269" spans="13:16">
      <c r="M269" s="4"/>
      <c r="P269" s="5"/>
    </row>
    <row r="270" spans="13:16">
      <c r="M270" s="4"/>
      <c r="P270" s="5"/>
    </row>
    <row r="271" spans="13:16">
      <c r="M271" s="4"/>
      <c r="P271" s="5"/>
    </row>
    <row r="272" spans="13:16">
      <c r="M272" s="4"/>
      <c r="P272" s="5"/>
    </row>
    <row r="273" spans="13:16">
      <c r="M273" s="4"/>
      <c r="P273" s="5"/>
    </row>
    <row r="274" spans="13:16">
      <c r="M274" s="4"/>
      <c r="P274" s="5"/>
    </row>
    <row r="275" spans="13:16">
      <c r="M275" s="4"/>
      <c r="P275" s="5"/>
    </row>
    <row r="276" spans="13:16">
      <c r="M276" s="4"/>
      <c r="P276" s="5"/>
    </row>
    <row r="277" spans="13:16">
      <c r="M277" s="4"/>
      <c r="P277" s="5"/>
    </row>
    <row r="278" spans="13:16">
      <c r="M278" s="4"/>
      <c r="P278" s="5"/>
    </row>
    <row r="279" spans="13:16">
      <c r="M279" s="4"/>
      <c r="P279" s="5"/>
    </row>
    <row r="280" spans="13:16">
      <c r="M280" s="4"/>
      <c r="P280" s="5"/>
    </row>
    <row r="281" spans="13:16">
      <c r="M281" s="4"/>
      <c r="P281" s="5"/>
    </row>
    <row r="282" spans="13:16">
      <c r="M282" s="4"/>
      <c r="P282" s="5"/>
    </row>
    <row r="283" spans="13:16">
      <c r="M283" s="4"/>
      <c r="P283" s="5"/>
    </row>
    <row r="284" spans="13:16">
      <c r="M284" s="4"/>
      <c r="P284" s="5"/>
    </row>
    <row r="285" spans="13:16">
      <c r="M285" s="4"/>
      <c r="P285" s="5"/>
    </row>
    <row r="286" spans="13:16">
      <c r="M286" s="4"/>
      <c r="P286" s="5"/>
    </row>
    <row r="287" spans="13:16">
      <c r="M287" s="4"/>
      <c r="P287" s="5"/>
    </row>
    <row r="288" spans="13:16">
      <c r="M288" s="4"/>
      <c r="P288" s="5"/>
    </row>
    <row r="289" spans="13:16">
      <c r="M289" s="4"/>
      <c r="P289" s="5"/>
    </row>
    <row r="290" spans="13:16">
      <c r="M290" s="4"/>
      <c r="P290" s="5"/>
    </row>
    <row r="291" spans="13:16">
      <c r="M291" s="4"/>
      <c r="P291" s="5"/>
    </row>
    <row r="292" spans="13:16">
      <c r="M292" s="4"/>
      <c r="P292" s="5"/>
    </row>
    <row r="293" spans="13:16">
      <c r="M293" s="4"/>
      <c r="P293" s="5"/>
    </row>
    <row r="294" spans="13:16">
      <c r="M294" s="4"/>
      <c r="P294" s="5"/>
    </row>
    <row r="295" spans="13:16">
      <c r="M295" s="4"/>
      <c r="P295" s="5"/>
    </row>
    <row r="296" spans="13:16">
      <c r="M296" s="4"/>
      <c r="P296" s="5"/>
    </row>
    <row r="297" spans="13:16">
      <c r="M297" s="4"/>
      <c r="P297" s="5"/>
    </row>
    <row r="298" spans="13:16">
      <c r="M298" s="4"/>
      <c r="P298" s="5"/>
    </row>
    <row r="299" spans="13:16">
      <c r="M299" s="4"/>
      <c r="P299" s="5"/>
    </row>
    <row r="300" spans="13:16">
      <c r="M300" s="4"/>
      <c r="P300" s="5"/>
    </row>
    <row r="301" spans="13:16">
      <c r="M301" s="4"/>
      <c r="P301" s="5"/>
    </row>
    <row r="302" spans="13:16">
      <c r="M302" s="4"/>
      <c r="P302" s="5"/>
    </row>
    <row r="303" spans="13:16">
      <c r="M303" s="4"/>
      <c r="P303" s="5"/>
    </row>
    <row r="304" spans="13:16">
      <c r="M304" s="4"/>
      <c r="P304" s="5"/>
    </row>
    <row r="305" spans="13:16">
      <c r="M305" s="4"/>
      <c r="P305" s="5"/>
    </row>
    <row r="306" spans="13:16">
      <c r="M306" s="4"/>
      <c r="P306" s="5"/>
    </row>
    <row r="307" spans="13:16">
      <c r="M307" s="4"/>
      <c r="P307" s="5"/>
    </row>
    <row r="308" spans="13:16">
      <c r="M308" s="4"/>
      <c r="P308" s="5"/>
    </row>
    <row r="309" spans="13:16">
      <c r="M309" s="4"/>
      <c r="P309" s="5"/>
    </row>
    <row r="310" spans="13:16">
      <c r="M310" s="4"/>
      <c r="P310" s="5"/>
    </row>
    <row r="311" spans="13:16">
      <c r="M311" s="4"/>
      <c r="P311" s="5"/>
    </row>
    <row r="312" spans="13:16">
      <c r="M312" s="4"/>
      <c r="P312" s="5"/>
    </row>
    <row r="313" spans="13:16">
      <c r="M313" s="4"/>
      <c r="P313" s="5"/>
    </row>
    <row r="314" spans="13:16">
      <c r="M314" s="4"/>
      <c r="P314" s="5"/>
    </row>
    <row r="315" spans="13:16">
      <c r="M315" s="4"/>
      <c r="P315" s="5"/>
    </row>
    <row r="316" spans="13:16">
      <c r="M316" s="4"/>
      <c r="P316" s="5"/>
    </row>
    <row r="317" spans="13:16">
      <c r="M317" s="4"/>
      <c r="P317" s="5"/>
    </row>
    <row r="318" spans="13:16">
      <c r="M318" s="4"/>
      <c r="P318" s="5"/>
    </row>
    <row r="319" spans="13:16">
      <c r="M319" s="4"/>
      <c r="P319" s="5"/>
    </row>
    <row r="320" spans="13:16">
      <c r="M320" s="4"/>
      <c r="P320" s="5"/>
    </row>
    <row r="321" spans="13:16">
      <c r="M321" s="4"/>
      <c r="P321" s="5"/>
    </row>
    <row r="322" spans="13:16">
      <c r="M322" s="4"/>
      <c r="P322" s="5"/>
    </row>
    <row r="323" spans="13:16">
      <c r="M323" s="4"/>
      <c r="P323" s="5"/>
    </row>
    <row r="324" spans="13:16">
      <c r="M324" s="4"/>
      <c r="P324" s="5"/>
    </row>
    <row r="325" spans="13:16">
      <c r="M325" s="4"/>
      <c r="P325" s="5"/>
    </row>
    <row r="326" spans="13:16">
      <c r="M326" s="4"/>
      <c r="P326" s="5"/>
    </row>
    <row r="327" spans="13:16">
      <c r="M327" s="4"/>
      <c r="P327" s="5"/>
    </row>
    <row r="328" spans="13:16">
      <c r="M328" s="4"/>
      <c r="P328" s="5"/>
    </row>
    <row r="329" spans="13:16">
      <c r="M329" s="4"/>
      <c r="P329" s="5"/>
    </row>
    <row r="330" spans="13:16">
      <c r="M330" s="4"/>
      <c r="P330" s="5"/>
    </row>
    <row r="331" spans="13:16">
      <c r="M331" s="4"/>
      <c r="P331" s="5"/>
    </row>
    <row r="332" spans="13:16">
      <c r="M332" s="4"/>
      <c r="P332" s="5"/>
    </row>
    <row r="333" spans="13:16">
      <c r="M333" s="4"/>
      <c r="P333" s="5"/>
    </row>
    <row r="334" spans="13:16">
      <c r="M334" s="4"/>
      <c r="P334" s="5"/>
    </row>
    <row r="335" spans="13:16">
      <c r="M335" s="4"/>
      <c r="P335" s="5"/>
    </row>
    <row r="336" spans="13:16">
      <c r="M336" s="4"/>
      <c r="P336" s="5"/>
    </row>
    <row r="337" spans="13:16">
      <c r="M337" s="4"/>
      <c r="P337" s="5"/>
    </row>
    <row r="338" spans="13:16">
      <c r="M338" s="4"/>
      <c r="P338" s="5"/>
    </row>
    <row r="339" spans="13:16">
      <c r="M339" s="4"/>
      <c r="P339" s="5"/>
    </row>
    <row r="340" spans="13:16">
      <c r="M340" s="4"/>
      <c r="P340" s="5"/>
    </row>
    <row r="341" spans="13:16">
      <c r="M341" s="4"/>
      <c r="P341" s="5"/>
    </row>
    <row r="342" spans="13:16">
      <c r="M342" s="4"/>
      <c r="P342" s="5"/>
    </row>
    <row r="343" spans="13:16">
      <c r="M343" s="4"/>
      <c r="P343" s="5"/>
    </row>
    <row r="344" spans="13:16">
      <c r="M344" s="4"/>
      <c r="P344" s="5"/>
    </row>
    <row r="345" spans="13:16">
      <c r="M345" s="4"/>
      <c r="P345" s="5"/>
    </row>
    <row r="346" spans="13:16">
      <c r="M346" s="4"/>
      <c r="P346" s="5"/>
    </row>
    <row r="347" spans="13:16">
      <c r="M347" s="4"/>
      <c r="P347" s="5"/>
    </row>
    <row r="348" spans="13:16">
      <c r="M348" s="4"/>
      <c r="P348" s="5"/>
    </row>
    <row r="349" spans="13:16">
      <c r="M349" s="4"/>
      <c r="P349" s="5"/>
    </row>
    <row r="350" spans="13:16">
      <c r="M350" s="4"/>
      <c r="P350" s="5"/>
    </row>
    <row r="351" spans="13:16">
      <c r="M351" s="4"/>
      <c r="P351" s="5"/>
    </row>
    <row r="352" spans="13:16">
      <c r="M352" s="4"/>
      <c r="P352" s="5"/>
    </row>
    <row r="353" spans="13:16">
      <c r="M353" s="4"/>
      <c r="P353" s="5"/>
    </row>
    <row r="354" spans="13:16">
      <c r="M354" s="4"/>
      <c r="P354" s="5"/>
    </row>
    <row r="355" spans="13:16">
      <c r="M355" s="4"/>
      <c r="P355" s="5"/>
    </row>
    <row r="356" spans="13:16">
      <c r="M356" s="4"/>
      <c r="P356" s="5"/>
    </row>
    <row r="357" spans="13:16">
      <c r="M357" s="4"/>
      <c r="P357" s="5"/>
    </row>
    <row r="358" spans="13:16">
      <c r="M358" s="4"/>
      <c r="P358" s="5"/>
    </row>
    <row r="359" spans="13:16">
      <c r="M359" s="4"/>
      <c r="P359" s="5"/>
    </row>
    <row r="360" spans="13:16">
      <c r="M360" s="4"/>
      <c r="P360" s="5"/>
    </row>
    <row r="361" spans="13:16">
      <c r="M361" s="4"/>
      <c r="P361" s="5"/>
    </row>
    <row r="362" spans="13:16">
      <c r="M362" s="4"/>
      <c r="P362" s="5"/>
    </row>
    <row r="363" spans="13:16">
      <c r="M363" s="4"/>
      <c r="P363" s="5"/>
    </row>
    <row r="364" spans="13:16">
      <c r="M364" s="4"/>
      <c r="P364" s="5"/>
    </row>
    <row r="365" spans="13:16">
      <c r="M365" s="4"/>
      <c r="P365" s="5"/>
    </row>
    <row r="366" spans="13:16">
      <c r="M366" s="4"/>
      <c r="P366" s="5"/>
    </row>
    <row r="367" spans="13:16">
      <c r="M367" s="4"/>
      <c r="P367" s="5"/>
    </row>
    <row r="368" spans="13:16">
      <c r="M368" s="4"/>
      <c r="P368" s="5"/>
    </row>
    <row r="369" spans="13:16">
      <c r="M369" s="4"/>
      <c r="P369" s="5"/>
    </row>
    <row r="370" spans="13:16">
      <c r="M370" s="4"/>
      <c r="P370" s="5"/>
    </row>
    <row r="371" spans="13:16">
      <c r="M371" s="4"/>
      <c r="P371" s="5"/>
    </row>
    <row r="372" spans="13:16">
      <c r="M372" s="4"/>
      <c r="P372" s="5"/>
    </row>
    <row r="373" spans="13:16">
      <c r="M373" s="4"/>
      <c r="P373" s="5"/>
    </row>
    <row r="374" spans="13:16">
      <c r="M374" s="4"/>
      <c r="P374" s="5"/>
    </row>
    <row r="375" spans="13:16">
      <c r="M375" s="4"/>
      <c r="P375" s="5"/>
    </row>
    <row r="376" spans="13:16">
      <c r="M376" s="4"/>
      <c r="P376" s="5"/>
    </row>
    <row r="377" spans="13:16">
      <c r="M377" s="4"/>
      <c r="P377" s="5"/>
    </row>
    <row r="378" spans="13:16">
      <c r="M378" s="4"/>
      <c r="P378" s="5"/>
    </row>
    <row r="379" spans="13:16">
      <c r="M379" s="4"/>
      <c r="P379" s="5"/>
    </row>
    <row r="380" spans="13:16">
      <c r="M380" s="4"/>
      <c r="P380" s="5"/>
    </row>
    <row r="381" spans="13:16">
      <c r="M381" s="4"/>
      <c r="P381" s="5"/>
    </row>
    <row r="382" spans="13:16">
      <c r="M382" s="4"/>
      <c r="P382" s="5"/>
    </row>
    <row r="383" spans="13:16">
      <c r="M383" s="4"/>
      <c r="P383" s="5"/>
    </row>
    <row r="384" spans="13:16">
      <c r="M384" s="4"/>
      <c r="P384" s="5"/>
    </row>
    <row r="385" spans="13:16">
      <c r="M385" s="4"/>
      <c r="P385" s="5"/>
    </row>
    <row r="386" spans="13:16">
      <c r="M386" s="4"/>
      <c r="P386" s="5"/>
    </row>
    <row r="387" spans="13:16">
      <c r="M387" s="4"/>
      <c r="P387" s="5"/>
    </row>
    <row r="388" spans="13:16">
      <c r="M388" s="4"/>
      <c r="P388" s="5"/>
    </row>
    <row r="389" spans="13:16">
      <c r="M389" s="4"/>
      <c r="P389" s="5"/>
    </row>
    <row r="390" spans="13:16">
      <c r="M390" s="4"/>
      <c r="P390" s="5"/>
    </row>
    <row r="391" spans="13:16">
      <c r="M391" s="4"/>
      <c r="P391" s="5"/>
    </row>
    <row r="392" spans="13:16">
      <c r="M392" s="4"/>
      <c r="P392" s="5"/>
    </row>
    <row r="393" spans="13:16">
      <c r="M393" s="4"/>
      <c r="P393" s="5"/>
    </row>
    <row r="394" spans="13:16">
      <c r="M394" s="4"/>
      <c r="P394" s="5"/>
    </row>
    <row r="395" spans="13:16">
      <c r="M395" s="4"/>
      <c r="P395" s="5"/>
    </row>
    <row r="396" spans="13:16">
      <c r="M396" s="4"/>
      <c r="P396" s="5"/>
    </row>
    <row r="397" spans="13:16">
      <c r="M397" s="4"/>
      <c r="P397" s="5"/>
    </row>
    <row r="398" spans="13:16">
      <c r="M398" s="4"/>
      <c r="P398" s="5"/>
    </row>
    <row r="399" spans="13:16">
      <c r="M399" s="4"/>
      <c r="P399" s="5"/>
    </row>
    <row r="400" spans="13:16">
      <c r="M400" s="4"/>
      <c r="P400" s="5"/>
    </row>
    <row r="401" spans="13:16">
      <c r="M401" s="4"/>
      <c r="P401" s="5"/>
    </row>
    <row r="402" spans="13:16">
      <c r="M402" s="4"/>
      <c r="P402" s="5"/>
    </row>
    <row r="403" spans="13:16">
      <c r="M403" s="4"/>
      <c r="P403" s="5"/>
    </row>
    <row r="404" spans="13:16">
      <c r="M404" s="4"/>
      <c r="P404" s="5"/>
    </row>
    <row r="405" spans="13:16">
      <c r="M405" s="4"/>
      <c r="P405" s="5"/>
    </row>
    <row r="406" spans="13:16">
      <c r="M406" s="4"/>
      <c r="P406" s="5"/>
    </row>
    <row r="407" spans="13:16">
      <c r="M407" s="4"/>
      <c r="P407" s="5"/>
    </row>
    <row r="408" spans="13:16">
      <c r="M408" s="4"/>
      <c r="P408" s="5"/>
    </row>
    <row r="409" spans="13:16">
      <c r="M409" s="4"/>
      <c r="P409" s="5"/>
    </row>
    <row r="410" spans="13:16">
      <c r="M410" s="4"/>
      <c r="P410" s="5"/>
    </row>
    <row r="411" spans="13:16">
      <c r="M411" s="4"/>
      <c r="P411" s="5"/>
    </row>
    <row r="412" spans="13:16">
      <c r="M412" s="4"/>
      <c r="P412" s="5"/>
    </row>
    <row r="413" spans="13:16">
      <c r="M413" s="4"/>
      <c r="P413" s="5"/>
    </row>
    <row r="414" spans="13:16">
      <c r="M414" s="4"/>
      <c r="P414" s="5"/>
    </row>
    <row r="415" spans="13:16">
      <c r="M415" s="4"/>
      <c r="P415" s="5"/>
    </row>
    <row r="416" spans="13:16">
      <c r="M416" s="4"/>
      <c r="P416" s="5"/>
    </row>
    <row r="417" spans="13:16">
      <c r="M417" s="4"/>
      <c r="P417" s="5"/>
    </row>
    <row r="418" spans="13:16">
      <c r="M418" s="4"/>
      <c r="P418" s="5"/>
    </row>
    <row r="419" spans="13:16">
      <c r="M419" s="4"/>
      <c r="P419" s="5"/>
    </row>
    <row r="420" spans="13:16">
      <c r="M420" s="4"/>
      <c r="P420" s="5"/>
    </row>
    <row r="421" spans="13:16">
      <c r="M421" s="4"/>
      <c r="P421" s="5"/>
    </row>
    <row r="422" spans="13:16">
      <c r="M422" s="4"/>
      <c r="P422" s="5"/>
    </row>
    <row r="423" spans="13:16">
      <c r="M423" s="4"/>
      <c r="P423" s="5"/>
    </row>
    <row r="424" spans="13:16">
      <c r="M424" s="4"/>
      <c r="P424" s="5"/>
    </row>
    <row r="425" spans="13:16">
      <c r="M425" s="4"/>
      <c r="P425" s="5"/>
    </row>
    <row r="426" spans="13:16">
      <c r="M426" s="4"/>
      <c r="P426" s="5"/>
    </row>
    <row r="427" spans="13:16">
      <c r="M427" s="4"/>
      <c r="P427" s="5"/>
    </row>
    <row r="428" spans="13:16">
      <c r="M428" s="4"/>
      <c r="P428" s="5"/>
    </row>
    <row r="429" spans="13:16">
      <c r="M429" s="4"/>
      <c r="P429" s="5"/>
    </row>
    <row r="430" spans="13:16">
      <c r="M430" s="4"/>
      <c r="P430" s="5"/>
    </row>
    <row r="431" spans="13:16">
      <c r="M431" s="4"/>
      <c r="P431" s="5"/>
    </row>
    <row r="432" spans="13:16">
      <c r="M432" s="4"/>
      <c r="P432" s="5"/>
    </row>
    <row r="433" spans="13:16">
      <c r="M433" s="4"/>
      <c r="P433" s="5"/>
    </row>
    <row r="434" spans="13:16">
      <c r="M434" s="4"/>
      <c r="P434" s="5"/>
    </row>
    <row r="435" spans="13:16">
      <c r="M435" s="4"/>
      <c r="P435" s="5"/>
    </row>
    <row r="436" spans="13:16">
      <c r="M436" s="4"/>
      <c r="P436" s="5"/>
    </row>
    <row r="437" spans="13:16">
      <c r="M437" s="4"/>
      <c r="P437" s="5"/>
    </row>
    <row r="438" spans="13:16">
      <c r="M438" s="4"/>
      <c r="P438" s="5"/>
    </row>
    <row r="439" spans="13:16">
      <c r="M439" s="4"/>
      <c r="P439" s="5"/>
    </row>
    <row r="440" spans="13:16">
      <c r="M440" s="4"/>
      <c r="P440" s="5"/>
    </row>
    <row r="441" spans="13:16">
      <c r="M441" s="4"/>
      <c r="P441" s="5"/>
    </row>
    <row r="442" spans="13:16">
      <c r="M442" s="4"/>
      <c r="P442" s="5"/>
    </row>
    <row r="443" spans="13:16">
      <c r="M443" s="4"/>
      <c r="P443" s="5"/>
    </row>
    <row r="444" spans="13:16">
      <c r="M444" s="4"/>
      <c r="P444" s="5"/>
    </row>
    <row r="445" spans="13:16">
      <c r="M445" s="4"/>
      <c r="P445" s="5"/>
    </row>
    <row r="446" spans="13:16">
      <c r="M446" s="4"/>
      <c r="P446" s="5"/>
    </row>
    <row r="447" spans="13:16">
      <c r="M447" s="4"/>
      <c r="P447" s="5"/>
    </row>
    <row r="448" spans="13:16">
      <c r="M448" s="4"/>
      <c r="P448" s="5"/>
    </row>
    <row r="449" spans="13:16">
      <c r="M449" s="4"/>
      <c r="P449" s="5"/>
    </row>
    <row r="450" spans="13:16">
      <c r="M450" s="4"/>
      <c r="P450" s="5"/>
    </row>
    <row r="451" spans="13:16">
      <c r="M451" s="4"/>
      <c r="P451" s="5"/>
    </row>
    <row r="452" spans="13:16">
      <c r="M452" s="4"/>
      <c r="P452" s="5"/>
    </row>
    <row r="453" spans="13:16">
      <c r="M453" s="4"/>
      <c r="P453" s="5"/>
    </row>
    <row r="454" spans="13:16">
      <c r="M454" s="4"/>
      <c r="P454" s="5"/>
    </row>
    <row r="455" spans="13:16">
      <c r="M455" s="4"/>
      <c r="P455" s="5"/>
    </row>
    <row r="456" spans="13:16">
      <c r="M456" s="4"/>
      <c r="P456" s="5"/>
    </row>
    <row r="457" spans="13:16">
      <c r="M457" s="4"/>
      <c r="P457" s="5"/>
    </row>
    <row r="458" spans="13:16">
      <c r="M458" s="4"/>
      <c r="P458" s="5"/>
    </row>
    <row r="459" spans="13:16">
      <c r="M459" s="4"/>
      <c r="P459" s="5"/>
    </row>
    <row r="460" spans="13:16">
      <c r="M460" s="4"/>
      <c r="P460" s="5"/>
    </row>
    <row r="461" spans="13:16">
      <c r="M461" s="4"/>
      <c r="P461" s="5"/>
    </row>
    <row r="462" spans="13:16">
      <c r="M462" s="4"/>
      <c r="P462" s="5"/>
    </row>
    <row r="463" spans="13:16">
      <c r="M463" s="4"/>
      <c r="P463" s="5"/>
    </row>
    <row r="464" spans="13:16">
      <c r="M464" s="4"/>
      <c r="P464" s="5"/>
    </row>
    <row r="465" spans="13:16">
      <c r="M465" s="4"/>
      <c r="P465" s="5"/>
    </row>
    <row r="466" spans="13:16">
      <c r="M466" s="4"/>
      <c r="P466" s="5"/>
    </row>
    <row r="467" spans="13:16">
      <c r="M467" s="4"/>
      <c r="P467" s="5"/>
    </row>
    <row r="468" spans="13:16">
      <c r="M468" s="4"/>
      <c r="P468" s="5"/>
    </row>
    <row r="469" spans="13:16">
      <c r="M469" s="4"/>
      <c r="P469" s="5"/>
    </row>
    <row r="470" spans="13:16">
      <c r="M470" s="4"/>
      <c r="P470" s="5"/>
    </row>
    <row r="471" spans="13:16">
      <c r="M471" s="4"/>
      <c r="P471" s="5"/>
    </row>
    <row r="472" spans="13:16">
      <c r="M472" s="4"/>
      <c r="P472" s="5"/>
    </row>
    <row r="473" spans="13:16">
      <c r="M473" s="4"/>
      <c r="P473" s="5"/>
    </row>
    <row r="474" spans="13:16">
      <c r="M474" s="4"/>
      <c r="P474" s="5"/>
    </row>
    <row r="475" spans="13:16">
      <c r="M475" s="4"/>
      <c r="P475" s="5"/>
    </row>
    <row r="476" spans="13:16">
      <c r="M476" s="4"/>
      <c r="P476" s="5"/>
    </row>
    <row r="477" spans="13:16">
      <c r="M477" s="4"/>
      <c r="P477" s="5"/>
    </row>
    <row r="478" spans="13:16">
      <c r="M478" s="4"/>
      <c r="P478" s="5"/>
    </row>
    <row r="479" spans="13:16">
      <c r="M479" s="4"/>
      <c r="P479" s="5"/>
    </row>
    <row r="480" spans="13:16">
      <c r="M480" s="4"/>
      <c r="P480" s="5"/>
    </row>
    <row r="481" spans="13:16">
      <c r="M481" s="4"/>
      <c r="P481" s="5"/>
    </row>
    <row r="482" spans="13:16">
      <c r="M482" s="4"/>
      <c r="P482" s="5"/>
    </row>
    <row r="483" spans="13:16">
      <c r="M483" s="4"/>
      <c r="P483" s="5"/>
    </row>
    <row r="484" spans="13:16">
      <c r="M484" s="4"/>
      <c r="P484" s="5"/>
    </row>
    <row r="485" spans="13:16">
      <c r="M485" s="4"/>
      <c r="P485" s="5"/>
    </row>
    <row r="486" spans="13:16">
      <c r="M486" s="4"/>
      <c r="P486" s="5"/>
    </row>
    <row r="487" spans="13:16">
      <c r="M487" s="4"/>
      <c r="P487" s="5"/>
    </row>
    <row r="488" spans="13:16">
      <c r="M488" s="4"/>
      <c r="P488" s="5"/>
    </row>
    <row r="489" spans="13:16">
      <c r="M489" s="4"/>
      <c r="P489" s="5"/>
    </row>
    <row r="490" spans="13:16">
      <c r="M490" s="4"/>
      <c r="P490" s="5"/>
    </row>
    <row r="491" spans="13:16">
      <c r="M491" s="4"/>
      <c r="P491" s="5"/>
    </row>
    <row r="492" spans="13:16">
      <c r="M492" s="4"/>
      <c r="P492" s="5"/>
    </row>
    <row r="493" spans="13:16">
      <c r="M493" s="4"/>
      <c r="P493" s="5"/>
    </row>
    <row r="494" spans="13:16">
      <c r="M494" s="4"/>
      <c r="P494" s="5"/>
    </row>
    <row r="495" spans="13:16">
      <c r="M495" s="4"/>
      <c r="P495" s="5"/>
    </row>
    <row r="496" spans="13:16">
      <c r="M496" s="4"/>
      <c r="P496" s="5"/>
    </row>
    <row r="497" spans="13:16">
      <c r="M497" s="4"/>
      <c r="P497" s="5"/>
    </row>
    <row r="498" spans="13:16">
      <c r="M498" s="4"/>
      <c r="P498" s="5"/>
    </row>
    <row r="499" spans="13:16">
      <c r="M499" s="4"/>
      <c r="P499" s="5"/>
    </row>
    <row r="500" spans="13:16">
      <c r="M500" s="4"/>
      <c r="P500" s="5"/>
    </row>
  </sheetData>
  <mergeCells count="2">
    <mergeCell ref="A1:P1"/>
    <mergeCell ref="A2:P2"/>
  </mergeCells>
  <phoneticPr fontId="5" type="noConversion"/>
  <conditionalFormatting sqref="C4:L500">
    <cfRule type="expression" dxfId="2" priority="1">
      <formula>C4="已完成"</formula>
    </cfRule>
    <cfRule type="expression" dxfId="1" priority="2">
      <formula>C4="进行中"</formula>
    </cfRule>
    <cfRule type="expression" dxfId="0" priority="3">
      <formula>C4="未开始"</formula>
    </cfRule>
  </conditionalFormatting>
  <conditionalFormatting sqref="M4:M500">
    <cfRule type="dataBar" priority="31">
      <dataBar>
        <cfvo type="min"/>
        <cfvo type="max"/>
        <color rgb="FF5B9BD5"/>
      </dataBar>
    </cfRule>
    <cfRule type="dataBar" priority="3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{9FDD56B0-4585-A907-0F22-A0743964BE20}</x14:id>
        </ext>
      </extLst>
    </cfRule>
  </conditionalFormatting>
  <dataValidations count="1">
    <dataValidation type="list" sqref="C4:L500" xr:uid="{00000000-0002-0000-0300-000000000000}">
      <formula1>"未开始,进行中,已完成,不适用"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DD56B0-4585-A907-0F22-A0743964BE20}">
            <x14:dataBar>
              <x14:cfvo type="min"/>
              <x14:cfvo type="max"/>
              <x14:negativeFillColor auto="1"/>
              <x14:axisColor auto="1"/>
            </x14:dataBar>
          </x14:cfRule>
          <xm:sqref>M4:M500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E17" sqref="E17"/>
    </sheetView>
  </sheetViews>
  <sheetFormatPr defaultRowHeight="13.8"/>
  <cols>
    <col min="1" max="1" width="18" customWidth="1"/>
    <col min="2" max="2" width="16" customWidth="1"/>
    <col min="3" max="3" width="4" customWidth="1"/>
    <col min="4" max="4" width="20" customWidth="1"/>
    <col min="5" max="5" width="44" customWidth="1"/>
    <col min="6" max="8" width="12" customWidth="1"/>
  </cols>
  <sheetData>
    <row r="1" spans="1:8" ht="20.85" customHeight="1">
      <c r="A1" s="8" t="s">
        <v>637</v>
      </c>
      <c r="B1" s="8"/>
      <c r="C1" s="8"/>
      <c r="D1" s="8"/>
      <c r="E1" s="8"/>
      <c r="F1" s="8"/>
      <c r="G1" s="8"/>
      <c r="H1" s="8"/>
    </row>
    <row r="2" spans="1:8" ht="27.15" customHeight="1">
      <c r="A2" s="10" t="s">
        <v>657</v>
      </c>
      <c r="B2" s="9"/>
      <c r="C2" s="9"/>
      <c r="D2" s="9"/>
      <c r="E2" s="9"/>
      <c r="F2" s="9"/>
      <c r="G2" s="9"/>
      <c r="H2" s="9"/>
    </row>
    <row r="4" spans="1:8" ht="27.15" customHeight="1">
      <c r="A4" s="1" t="s">
        <v>638</v>
      </c>
      <c r="B4" s="1" t="s">
        <v>639</v>
      </c>
      <c r="D4" s="1" t="s">
        <v>640</v>
      </c>
      <c r="E4" s="1" t="s">
        <v>641</v>
      </c>
    </row>
    <row r="5" spans="1:8">
      <c r="A5" s="2" t="s">
        <v>642</v>
      </c>
      <c r="B5" s="2">
        <f>COUNTA(工作进度表!B4:B100)</f>
        <v>4</v>
      </c>
      <c r="C5" s="2"/>
      <c r="D5" s="2" t="s">
        <v>643</v>
      </c>
      <c r="E5" s="2" t="s">
        <v>656</v>
      </c>
    </row>
    <row r="6" spans="1:8">
      <c r="A6" s="2" t="s">
        <v>644</v>
      </c>
      <c r="B6" s="6">
        <f>IFERROR(AVERAGE(工作进度表!M4:M7),0)</f>
        <v>0.70000000000000007</v>
      </c>
      <c r="C6" s="2"/>
      <c r="D6" s="2" t="s">
        <v>645</v>
      </c>
      <c r="E6" s="2" t="s">
        <v>646</v>
      </c>
    </row>
    <row r="7" spans="1:8">
      <c r="A7" s="2" t="s">
        <v>647</v>
      </c>
      <c r="B7" s="2">
        <f>COUNTIF(工作进度表!M4:M100,1)</f>
        <v>0</v>
      </c>
      <c r="C7" s="2"/>
      <c r="D7" s="2" t="s">
        <v>648</v>
      </c>
      <c r="E7" s="2" t="s">
        <v>649</v>
      </c>
    </row>
    <row r="8" spans="1:8">
      <c r="A8" s="2" t="s">
        <v>650</v>
      </c>
      <c r="B8" s="2">
        <f>COUNTA(来源及证据清单!A4:A200)</f>
        <v>36</v>
      </c>
      <c r="C8" s="2"/>
      <c r="D8" s="2" t="s">
        <v>651</v>
      </c>
      <c r="E8" s="2" t="s">
        <v>652</v>
      </c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型号资料表</vt:lpstr>
      <vt:lpstr>字段候选表</vt:lpstr>
      <vt:lpstr>来源及证据清单</vt:lpstr>
      <vt:lpstr>工作进度表</vt:lpstr>
      <vt:lpstr>验收概览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 韩</cp:lastModifiedBy>
  <dcterms:modified xsi:type="dcterms:W3CDTF">2026-09-29T07:39:54Z</dcterms:modified>
</cp:coreProperties>
</file>